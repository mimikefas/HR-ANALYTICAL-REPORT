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23016" windowHeight="8592" activeTab="1"/>
  </bookViews>
  <sheets>
    <sheet name="Sheet1" sheetId="2" r:id="rId1"/>
    <sheet name="Dashboard" sheetId="4" r:id="rId2"/>
    <sheet name="messy_HR_data_Cleaned" sheetId="1" r:id="rId3"/>
  </sheets>
  <definedNames>
    <definedName name="_xlnm._FilterDatabase" localSheetId="2" hidden="1">messy_HR_data_Cleaned!$B$1:$B$1001</definedName>
    <definedName name="Slicer_Department">#N/A</definedName>
    <definedName name="Slicer_Performance_Score">#N/A</definedName>
    <definedName name="Slicer_Position">#N/A</definedName>
    <definedName name="Slicer_Year">#N/A</definedName>
  </definedNames>
  <calcPr calcId="162913"/>
  <pivotCaches>
    <pivotCache cacheId="5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8" i="2" l="1"/>
  <c r="L12" i="1" s="1"/>
  <c r="C15" i="2"/>
  <c r="C14" i="2"/>
  <c r="L2" i="1"/>
  <c r="L3" i="1"/>
  <c r="L4" i="1"/>
  <c r="L5" i="1"/>
  <c r="L6" i="1"/>
  <c r="L7" i="1"/>
  <c r="L8" i="1"/>
  <c r="L9" i="1"/>
  <c r="L10" i="1"/>
  <c r="L11"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sharedStrings.xml><?xml version="1.0" encoding="utf-8"?>
<sst xmlns="http://schemas.openxmlformats.org/spreadsheetml/2006/main" count="6442" uniqueCount="58">
  <si>
    <t>Name</t>
  </si>
  <si>
    <t>Age</t>
  </si>
  <si>
    <t>Salary</t>
  </si>
  <si>
    <t>Gender</t>
  </si>
  <si>
    <t>Department</t>
  </si>
  <si>
    <t>Position</t>
  </si>
  <si>
    <t xml:space="preserve">Year </t>
  </si>
  <si>
    <t>Joining Date</t>
  </si>
  <si>
    <t xml:space="preserve">Month </t>
  </si>
  <si>
    <t>Performance Score</t>
  </si>
  <si>
    <t>Performance  _Score_Range</t>
  </si>
  <si>
    <t xml:space="preserve"> Grace </t>
  </si>
  <si>
    <t>Male</t>
  </si>
  <si>
    <t>HR</t>
  </si>
  <si>
    <t>Manager</t>
  </si>
  <si>
    <t>April</t>
  </si>
  <si>
    <t>D</t>
  </si>
  <si>
    <t xml:space="preserve"> David </t>
  </si>
  <si>
    <t xml:space="preserve"> </t>
  </si>
  <si>
    <t>Female</t>
  </si>
  <si>
    <t>Finance</t>
  </si>
  <si>
    <t>Director</t>
  </si>
  <si>
    <t>February</t>
  </si>
  <si>
    <t>F</t>
  </si>
  <si>
    <t xml:space="preserve"> Hannah </t>
  </si>
  <si>
    <t>Sales</t>
  </si>
  <si>
    <t>January</t>
  </si>
  <si>
    <t>C</t>
  </si>
  <si>
    <t xml:space="preserve"> Eve </t>
  </si>
  <si>
    <t>IT</t>
  </si>
  <si>
    <t>A</t>
  </si>
  <si>
    <t xml:space="preserve"> Jack </t>
  </si>
  <si>
    <t>Other</t>
  </si>
  <si>
    <t>Marketing</t>
  </si>
  <si>
    <t>March</t>
  </si>
  <si>
    <t xml:space="preserve"> Charlie </t>
  </si>
  <si>
    <t>Clerk</t>
  </si>
  <si>
    <t>December</t>
  </si>
  <si>
    <t>B</t>
  </si>
  <si>
    <t>Assistant</t>
  </si>
  <si>
    <t>Analyst</t>
  </si>
  <si>
    <t xml:space="preserve"> Frank </t>
  </si>
  <si>
    <t xml:space="preserve"> Bob </t>
  </si>
  <si>
    <t xml:space="preserve"> Alice </t>
  </si>
  <si>
    <t xml:space="preserve"> Ivy </t>
  </si>
  <si>
    <t xml:space="preserve">Salary Performance </t>
  </si>
  <si>
    <t>Row Labels</t>
  </si>
  <si>
    <t>Grand Total</t>
  </si>
  <si>
    <t>Average of Performance  _Score_Range</t>
  </si>
  <si>
    <t>Average of Salary</t>
  </si>
  <si>
    <t>Average of Age</t>
  </si>
  <si>
    <t>Count of Name</t>
  </si>
  <si>
    <t>Key Indicators</t>
  </si>
  <si>
    <t>year</t>
  </si>
  <si>
    <t>average salary</t>
  </si>
  <si>
    <t>salary growth</t>
  </si>
  <si>
    <t xml:space="preserve">Salary Compression </t>
  </si>
  <si>
    <t xml:space="preserve">Employees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</si>
</sst>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1" applyNumberFormat="1" applyFont="1"/>
    <xf numFmtId="2" fontId="0" fillId="0" borderId="0" xfId="0" applyNumberFormat="1"/>
    <xf numFmtId="164" fontId="0" fillId="0" borderId="0" xfId="0" applyNumberFormat="1"/>
    <xf numFmtId="165" fontId="0" fillId="0" borderId="0" xfId="0" applyNumberFormat="1"/>
    <xf numFmtId="0" fontId="0" fillId="0" borderId="0" xfId="0"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1">
    <dxf>
      <numFmt numFmtId="165" formatCode="0.0"/>
    </dxf>
    <dxf>
      <numFmt numFmtId="2" formatCode="0.00"/>
    </dxf>
    <dxf>
      <numFmt numFmtId="167" formatCode="0.000"/>
    </dxf>
    <dxf>
      <numFmt numFmtId="166" formatCode="0.0000"/>
    </dxf>
    <dxf>
      <numFmt numFmtId="165" formatCode="0.0"/>
    </dxf>
    <dxf>
      <numFmt numFmtId="164" formatCode="0.0%"/>
    </dxf>
    <dxf>
      <numFmt numFmtId="13" formatCode="0%"/>
    </dxf>
    <dxf>
      <numFmt numFmtId="13" formatCode="0%"/>
    </dxf>
    <dxf>
      <numFmt numFmtId="14" formatCode="0.00%"/>
    </dxf>
    <dxf>
      <numFmt numFmtId="164" formatCode="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[HR_data.xlsx]Sheet1!PivotTable12</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lumMod val="75000"/>
              </a:schemeClr>
            </a:solidFill>
            <a:round/>
          </a:ln>
          <a:effectLst/>
        </c:spPr>
        <c:marker>
          <c:symbol val="none"/>
        </c:marker>
      </c:pivotFmt>
    </c:pivotFmts>
    <c:plotArea>
      <c:layout/>
      <c:lineChart>
        <c:grouping val="standard"/>
        <c:varyColors val="0"/>
        <c:ser>
          <c:idx val="0"/>
          <c:order val="0"/>
          <c:tx>
            <c:strRef>
              <c:f>Sheet1!$D$43</c:f>
              <c:strCache>
                <c:ptCount val="1"/>
                <c:pt idx="0">
                  <c:v>Total</c:v>
                </c:pt>
              </c:strCache>
            </c:strRef>
          </c:tx>
          <c:spPr>
            <a:ln w="28575" cap="rnd">
              <a:solidFill>
                <a:schemeClr val="accent1">
                  <a:lumMod val="75000"/>
                </a:schemeClr>
              </a:solidFill>
              <a:round/>
            </a:ln>
            <a:effectLst/>
          </c:spPr>
          <c:marker>
            <c:symbol val="none"/>
          </c:marker>
          <c:cat>
            <c:strRef>
              <c:f>Sheet1!$C$44:$C$47</c:f>
              <c:strCache>
                <c:ptCount val="3"/>
                <c:pt idx="0">
                  <c:v>2018</c:v>
                </c:pt>
                <c:pt idx="1">
                  <c:v>2019</c:v>
                </c:pt>
                <c:pt idx="2">
                  <c:v>2020</c:v>
                </c:pt>
              </c:strCache>
            </c:strRef>
          </c:cat>
          <c:val>
            <c:numRef>
              <c:f>Sheet1!$D$44:$D$47</c:f>
              <c:numCache>
                <c:formatCode>0.0%</c:formatCode>
                <c:ptCount val="3"/>
                <c:pt idx="0">
                  <c:v>3.0053763440860215</c:v>
                </c:pt>
                <c:pt idx="1">
                  <c:v>2.9766233766233765</c:v>
                </c:pt>
                <c:pt idx="2">
                  <c:v>3.0582750582750582</c:v>
                </c:pt>
              </c:numCache>
            </c:numRef>
          </c:val>
          <c:smooth val="1"/>
          <c:extLst>
            <c:ext xmlns:c16="http://schemas.microsoft.com/office/drawing/2014/chart" uri="{C3380CC4-5D6E-409C-BE32-E72D297353CC}">
              <c16:uniqueId val="{00000000-8A87-456E-B901-806605081349}"/>
            </c:ext>
          </c:extLst>
        </c:ser>
        <c:dLbls>
          <c:showLegendKey val="0"/>
          <c:showVal val="0"/>
          <c:showCatName val="0"/>
          <c:showSerName val="0"/>
          <c:showPercent val="0"/>
          <c:showBubbleSize val="0"/>
        </c:dLbls>
        <c:smooth val="0"/>
        <c:axId val="708505032"/>
        <c:axId val="708496504"/>
      </c:lineChart>
      <c:catAx>
        <c:axId val="708505032"/>
        <c:scaling>
          <c:orientation val="minMax"/>
        </c:scaling>
        <c:delete val="1"/>
        <c:axPos val="b"/>
        <c:numFmt formatCode="General" sourceLinked="1"/>
        <c:majorTickMark val="none"/>
        <c:minorTickMark val="none"/>
        <c:tickLblPos val="nextTo"/>
        <c:crossAx val="708496504"/>
        <c:crosses val="autoZero"/>
        <c:auto val="1"/>
        <c:lblAlgn val="ctr"/>
        <c:lblOffset val="100"/>
        <c:noMultiLvlLbl val="0"/>
      </c:catAx>
      <c:valAx>
        <c:axId val="708496504"/>
        <c:scaling>
          <c:orientation val="minMax"/>
        </c:scaling>
        <c:delete val="1"/>
        <c:axPos val="l"/>
        <c:numFmt formatCode="0.0%" sourceLinked="1"/>
        <c:majorTickMark val="none"/>
        <c:minorTickMark val="none"/>
        <c:tickLblPos val="nextTo"/>
        <c:crossAx val="7085050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[HR_data.xlsx]Sheet1!PivotTable13</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lumMod val="75000"/>
              </a:schemeClr>
            </a:solidFill>
            <a:round/>
          </a:ln>
          <a:effectLst/>
        </c:spPr>
        <c:marker>
          <c:symbol val="none"/>
        </c:marker>
      </c:pivotFmt>
    </c:pivotFmts>
    <c:plotArea>
      <c:layout/>
      <c:lineChart>
        <c:grouping val="standard"/>
        <c:varyColors val="0"/>
        <c:ser>
          <c:idx val="0"/>
          <c:order val="0"/>
          <c:tx>
            <c:strRef>
              <c:f>Sheet1!$G$43</c:f>
              <c:strCache>
                <c:ptCount val="1"/>
                <c:pt idx="0">
                  <c:v>Total</c:v>
                </c:pt>
              </c:strCache>
            </c:strRef>
          </c:tx>
          <c:spPr>
            <a:ln w="28575" cap="rnd">
              <a:solidFill>
                <a:schemeClr val="accent1">
                  <a:lumMod val="75000"/>
                </a:schemeClr>
              </a:solidFill>
              <a:round/>
            </a:ln>
            <a:effectLst/>
          </c:spPr>
          <c:marker>
            <c:symbol val="none"/>
          </c:marker>
          <c:cat>
            <c:strRef>
              <c:f>Sheet1!$F$44:$F$47</c:f>
              <c:strCache>
                <c:ptCount val="3"/>
                <c:pt idx="0">
                  <c:v>2018</c:v>
                </c:pt>
                <c:pt idx="1">
                  <c:v>2019</c:v>
                </c:pt>
                <c:pt idx="2">
                  <c:v>2020</c:v>
                </c:pt>
              </c:strCache>
            </c:strRef>
          </c:cat>
          <c:val>
            <c:numRef>
              <c:f>Sheet1!$G$44:$G$47</c:f>
              <c:numCache>
                <c:formatCode>General</c:formatCode>
                <c:ptCount val="3"/>
                <c:pt idx="0">
                  <c:v>59233.128834355826</c:v>
                </c:pt>
                <c:pt idx="1">
                  <c:v>60787.781350482313</c:v>
                </c:pt>
                <c:pt idx="2">
                  <c:v>60167.130919220057</c:v>
                </c:pt>
              </c:numCache>
            </c:numRef>
          </c:val>
          <c:smooth val="1"/>
          <c:extLst>
            <c:ext xmlns:c16="http://schemas.microsoft.com/office/drawing/2014/chart" uri="{C3380CC4-5D6E-409C-BE32-E72D297353CC}">
              <c16:uniqueId val="{00000000-F78C-45C8-89A6-0D8BDBCC3502}"/>
            </c:ext>
          </c:extLst>
        </c:ser>
        <c:dLbls>
          <c:showLegendKey val="0"/>
          <c:showVal val="0"/>
          <c:showCatName val="0"/>
          <c:showSerName val="0"/>
          <c:showPercent val="0"/>
          <c:showBubbleSize val="0"/>
        </c:dLbls>
        <c:smooth val="0"/>
        <c:axId val="706237128"/>
        <c:axId val="706238440"/>
      </c:lineChart>
      <c:catAx>
        <c:axId val="706237128"/>
        <c:scaling>
          <c:orientation val="minMax"/>
        </c:scaling>
        <c:delete val="1"/>
        <c:axPos val="b"/>
        <c:numFmt formatCode="General" sourceLinked="1"/>
        <c:majorTickMark val="none"/>
        <c:minorTickMark val="none"/>
        <c:tickLblPos val="nextTo"/>
        <c:crossAx val="706238440"/>
        <c:crosses val="autoZero"/>
        <c:auto val="1"/>
        <c:lblAlgn val="ctr"/>
        <c:lblOffset val="100"/>
        <c:noMultiLvlLbl val="0"/>
      </c:catAx>
      <c:valAx>
        <c:axId val="706238440"/>
        <c:scaling>
          <c:orientation val="minMax"/>
        </c:scaling>
        <c:delete val="1"/>
        <c:axPos val="l"/>
        <c:numFmt formatCode="General" sourceLinked="1"/>
        <c:majorTickMark val="none"/>
        <c:minorTickMark val="none"/>
        <c:tickLblPos val="nextTo"/>
        <c:crossAx val="706237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[HR_data.xlsx]Sheet1!PivotTable14</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Sheet1!$E$53</c:f>
              <c:strCache>
                <c:ptCount val="1"/>
                <c:pt idx="0">
                  <c:v>Total</c:v>
                </c:pt>
              </c:strCache>
            </c:strRef>
          </c:tx>
          <c:spPr>
            <a:ln w="28575" cap="rnd">
              <a:solidFill>
                <a:schemeClr val="accent1"/>
              </a:solidFill>
              <a:round/>
            </a:ln>
            <a:effectLst/>
          </c:spPr>
          <c:marker>
            <c:symbol val="none"/>
          </c:marker>
          <c:cat>
            <c:strRef>
              <c:f>Sheet1!$D$54:$D$57</c:f>
              <c:strCache>
                <c:ptCount val="3"/>
                <c:pt idx="0">
                  <c:v>2018</c:v>
                </c:pt>
                <c:pt idx="1">
                  <c:v>2019</c:v>
                </c:pt>
                <c:pt idx="2">
                  <c:v>2020</c:v>
                </c:pt>
              </c:strCache>
            </c:strRef>
          </c:cat>
          <c:val>
            <c:numRef>
              <c:f>Sheet1!$E$54:$E$57</c:f>
              <c:numCache>
                <c:formatCode>General</c:formatCode>
                <c:ptCount val="3"/>
                <c:pt idx="0">
                  <c:v>186</c:v>
                </c:pt>
                <c:pt idx="1">
                  <c:v>385</c:v>
                </c:pt>
                <c:pt idx="2">
                  <c:v>429</c:v>
                </c:pt>
              </c:numCache>
            </c:numRef>
          </c:val>
          <c:smooth val="1"/>
          <c:extLst>
            <c:ext xmlns:c16="http://schemas.microsoft.com/office/drawing/2014/chart" uri="{C3380CC4-5D6E-409C-BE32-E72D297353CC}">
              <c16:uniqueId val="{00000000-FD7F-44B7-87FB-B77D0E69006E}"/>
            </c:ext>
          </c:extLst>
        </c:ser>
        <c:dLbls>
          <c:showLegendKey val="0"/>
          <c:showVal val="0"/>
          <c:showCatName val="0"/>
          <c:showSerName val="0"/>
          <c:showPercent val="0"/>
          <c:showBubbleSize val="0"/>
        </c:dLbls>
        <c:smooth val="0"/>
        <c:axId val="705479976"/>
        <c:axId val="705475384"/>
      </c:lineChart>
      <c:catAx>
        <c:axId val="705479976"/>
        <c:scaling>
          <c:orientation val="minMax"/>
        </c:scaling>
        <c:delete val="1"/>
        <c:axPos val="b"/>
        <c:numFmt formatCode="General" sourceLinked="1"/>
        <c:majorTickMark val="none"/>
        <c:minorTickMark val="none"/>
        <c:tickLblPos val="nextTo"/>
        <c:crossAx val="705475384"/>
        <c:crosses val="autoZero"/>
        <c:auto val="1"/>
        <c:lblAlgn val="ctr"/>
        <c:lblOffset val="100"/>
        <c:noMultiLvlLbl val="0"/>
      </c:catAx>
      <c:valAx>
        <c:axId val="705475384"/>
        <c:scaling>
          <c:orientation val="minMax"/>
        </c:scaling>
        <c:delete val="1"/>
        <c:axPos val="l"/>
        <c:numFmt formatCode="General" sourceLinked="1"/>
        <c:majorTickMark val="none"/>
        <c:minorTickMark val="none"/>
        <c:tickLblPos val="nextTo"/>
        <c:crossAx val="7054799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[HR_data.xlsx]Sheet1!PivotTable6</c:name>
    <c:fmtId val="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15907447577729572"/>
          <c:y val="7.6548364648573411E-2"/>
          <c:w val="0.84092552422270428"/>
          <c:h val="0.84690327070285321"/>
        </c:manualLayout>
      </c:layout>
      <c:barChart>
        <c:barDir val="col"/>
        <c:grouping val="clustered"/>
        <c:varyColors val="0"/>
        <c:ser>
          <c:idx val="0"/>
          <c:order val="0"/>
          <c:tx>
            <c:strRef>
              <c:f>Sheet1!$I$24</c:f>
              <c:strCache>
                <c:ptCount val="1"/>
                <c:pt idx="0">
                  <c:v>Total</c:v>
                </c:pt>
              </c:strCache>
            </c:strRef>
          </c:tx>
          <c:spPr>
            <a:solidFill>
              <a:schemeClr val="accent1"/>
            </a:solidFill>
            <a:ln>
              <a:noFill/>
            </a:ln>
            <a:effectLst/>
          </c:spPr>
          <c:invertIfNegative val="0"/>
          <c:cat>
            <c:strRef>
              <c:f>Sheet1!$H$25:$H$30</c:f>
              <c:strCache>
                <c:ptCount val="5"/>
                <c:pt idx="0">
                  <c:v>Finance</c:v>
                </c:pt>
                <c:pt idx="1">
                  <c:v>HR</c:v>
                </c:pt>
                <c:pt idx="2">
                  <c:v>IT</c:v>
                </c:pt>
                <c:pt idx="3">
                  <c:v>Marketing</c:v>
                </c:pt>
                <c:pt idx="4">
                  <c:v>Sales</c:v>
                </c:pt>
              </c:strCache>
            </c:strRef>
          </c:cat>
          <c:val>
            <c:numRef>
              <c:f>Sheet1!$I$25:$I$30</c:f>
              <c:numCache>
                <c:formatCode>General</c:formatCode>
                <c:ptCount val="5"/>
                <c:pt idx="0">
                  <c:v>59971.590909090912</c:v>
                </c:pt>
                <c:pt idx="1">
                  <c:v>60261.627906976741</c:v>
                </c:pt>
                <c:pt idx="2">
                  <c:v>59756.097560975613</c:v>
                </c:pt>
                <c:pt idx="3">
                  <c:v>60065.359477124184</c:v>
                </c:pt>
                <c:pt idx="4">
                  <c:v>61011.904761904763</c:v>
                </c:pt>
              </c:numCache>
            </c:numRef>
          </c:val>
          <c:extLst>
            <c:ext xmlns:c16="http://schemas.microsoft.com/office/drawing/2014/chart" uri="{C3380CC4-5D6E-409C-BE32-E72D297353CC}">
              <c16:uniqueId val="{00000000-9866-4B95-8DEB-69236C50186D}"/>
            </c:ext>
          </c:extLst>
        </c:ser>
        <c:dLbls>
          <c:showLegendKey val="0"/>
          <c:showVal val="0"/>
          <c:showCatName val="0"/>
          <c:showSerName val="0"/>
          <c:showPercent val="0"/>
          <c:showBubbleSize val="0"/>
        </c:dLbls>
        <c:gapWidth val="219"/>
        <c:overlap val="-27"/>
        <c:axId val="711073728"/>
        <c:axId val="711075368"/>
      </c:barChart>
      <c:catAx>
        <c:axId val="711073728"/>
        <c:scaling>
          <c:orientation val="minMax"/>
        </c:scaling>
        <c:delete val="1"/>
        <c:axPos val="b"/>
        <c:numFmt formatCode="General" sourceLinked="1"/>
        <c:majorTickMark val="none"/>
        <c:minorTickMark val="none"/>
        <c:tickLblPos val="nextTo"/>
        <c:crossAx val="711075368"/>
        <c:crosses val="autoZero"/>
        <c:auto val="1"/>
        <c:lblAlgn val="ctr"/>
        <c:lblOffset val="100"/>
        <c:noMultiLvlLbl val="0"/>
      </c:catAx>
      <c:valAx>
        <c:axId val="711075368"/>
        <c:scaling>
          <c:orientation val="minMax"/>
        </c:scaling>
        <c:delete val="1"/>
        <c:axPos val="l"/>
        <c:numFmt formatCode="General" sourceLinked="1"/>
        <c:majorTickMark val="none"/>
        <c:minorTickMark val="none"/>
        <c:tickLblPos val="nextTo"/>
        <c:crossAx val="7110737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13428437407124927"/>
          <c:y val="4.6296296296296294E-2"/>
          <c:w val="0.82024040992147473"/>
          <c:h val="0.8416746864975212"/>
        </c:manualLayout>
      </c:layout>
      <c:barChart>
        <c:barDir val="col"/>
        <c:grouping val="clustered"/>
        <c:varyColors val="0"/>
        <c:ser>
          <c:idx val="0"/>
          <c:order val="0"/>
          <c:tx>
            <c:strRef>
              <c:f>Sheet1!$H$53</c:f>
              <c:strCache>
                <c:ptCount val="1"/>
                <c:pt idx="0">
                  <c:v>Total</c:v>
                </c:pt>
              </c:strCache>
            </c:strRef>
          </c:tx>
          <c:spPr>
            <a:solidFill>
              <a:schemeClr val="accent1"/>
            </a:solidFill>
            <a:ln>
              <a:noFill/>
            </a:ln>
            <a:effectLst/>
          </c:spPr>
          <c:invertIfNegative val="0"/>
          <c:cat>
            <c:strRef>
              <c:f>Sheet1!$G$54:$G$59</c:f>
              <c:strCache>
                <c:ptCount val="5"/>
                <c:pt idx="0">
                  <c:v>A</c:v>
                </c:pt>
                <c:pt idx="1">
                  <c:v>B</c:v>
                </c:pt>
                <c:pt idx="2">
                  <c:v>C</c:v>
                </c:pt>
                <c:pt idx="3">
                  <c:v>D</c:v>
                </c:pt>
                <c:pt idx="4">
                  <c:v>F</c:v>
                </c:pt>
              </c:strCache>
            </c:strRef>
          </c:cat>
          <c:val>
            <c:numRef>
              <c:f>Sheet1!$H$54:$H$59</c:f>
              <c:numCache>
                <c:formatCode>General</c:formatCode>
                <c:ptCount val="5"/>
                <c:pt idx="0">
                  <c:v>193</c:v>
                </c:pt>
                <c:pt idx="1">
                  <c:v>225</c:v>
                </c:pt>
                <c:pt idx="2">
                  <c:v>192</c:v>
                </c:pt>
                <c:pt idx="3">
                  <c:v>189</c:v>
                </c:pt>
                <c:pt idx="4">
                  <c:v>201</c:v>
                </c:pt>
              </c:numCache>
            </c:numRef>
          </c:val>
          <c:extLst>
            <c:ext xmlns:c16="http://schemas.microsoft.com/office/drawing/2014/chart" uri="{C3380CC4-5D6E-409C-BE32-E72D297353CC}">
              <c16:uniqueId val="{00000000-3BB0-4387-A727-6864729A66AD}"/>
            </c:ext>
          </c:extLst>
        </c:ser>
        <c:dLbls>
          <c:showLegendKey val="0"/>
          <c:showVal val="0"/>
          <c:showCatName val="0"/>
          <c:showSerName val="0"/>
          <c:showPercent val="0"/>
          <c:showBubbleSize val="0"/>
        </c:dLbls>
        <c:gapWidth val="219"/>
        <c:overlap val="-27"/>
        <c:axId val="711074384"/>
        <c:axId val="711074712"/>
      </c:barChart>
      <c:catAx>
        <c:axId val="71107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74712"/>
        <c:crosses val="autoZero"/>
        <c:auto val="1"/>
        <c:lblAlgn val="ctr"/>
        <c:lblOffset val="100"/>
        <c:noMultiLvlLbl val="0"/>
      </c:catAx>
      <c:valAx>
        <c:axId val="7110747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743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[HR_data.xlsx]Sheet1!PivotTable23</c:name>
    <c:fmtId val="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Sheet1!$F$65</c:f>
              <c:strCache>
                <c:ptCount val="1"/>
                <c:pt idx="0">
                  <c:v>Total</c:v>
                </c:pt>
              </c:strCache>
            </c:strRef>
          </c:tx>
          <c:spPr>
            <a:solidFill>
              <a:schemeClr val="accent1"/>
            </a:solidFill>
            <a:ln>
              <a:noFill/>
            </a:ln>
            <a:effectLst/>
          </c:spPr>
          <c:invertIfNegative val="0"/>
          <c:cat>
            <c:strRef>
              <c:f>Sheet1!$E$66:$E$72</c:f>
              <c:strCache>
                <c:ptCount val="6"/>
                <c:pt idx="0">
                  <c:v>25</c:v>
                </c:pt>
                <c:pt idx="1">
                  <c:v>30</c:v>
                </c:pt>
                <c:pt idx="2">
                  <c:v>35</c:v>
                </c:pt>
                <c:pt idx="3">
                  <c:v>40</c:v>
                </c:pt>
                <c:pt idx="4">
                  <c:v>50</c:v>
                </c:pt>
                <c:pt idx="5">
                  <c:v> </c:v>
                </c:pt>
              </c:strCache>
            </c:strRef>
          </c:cat>
          <c:val>
            <c:numRef>
              <c:f>Sheet1!$F$66:$F$72</c:f>
              <c:numCache>
                <c:formatCode>General</c:formatCode>
                <c:ptCount val="6"/>
                <c:pt idx="0">
                  <c:v>171</c:v>
                </c:pt>
                <c:pt idx="1">
                  <c:v>176</c:v>
                </c:pt>
                <c:pt idx="2">
                  <c:v>163</c:v>
                </c:pt>
                <c:pt idx="3">
                  <c:v>170</c:v>
                </c:pt>
                <c:pt idx="4">
                  <c:v>161</c:v>
                </c:pt>
                <c:pt idx="5">
                  <c:v>159</c:v>
                </c:pt>
              </c:numCache>
            </c:numRef>
          </c:val>
          <c:extLst>
            <c:ext xmlns:c16="http://schemas.microsoft.com/office/drawing/2014/chart" uri="{C3380CC4-5D6E-409C-BE32-E72D297353CC}">
              <c16:uniqueId val="{00000000-F6C4-497B-B4B7-1D403F510490}"/>
            </c:ext>
          </c:extLst>
        </c:ser>
        <c:dLbls>
          <c:showLegendKey val="0"/>
          <c:showVal val="0"/>
          <c:showCatName val="0"/>
          <c:showSerName val="0"/>
          <c:showPercent val="0"/>
          <c:showBubbleSize val="0"/>
        </c:dLbls>
        <c:gapWidth val="182"/>
        <c:axId val="777301848"/>
        <c:axId val="777296928"/>
      </c:barChart>
      <c:catAx>
        <c:axId val="777301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296928"/>
        <c:crosses val="autoZero"/>
        <c:auto val="1"/>
        <c:lblAlgn val="ctr"/>
        <c:lblOffset val="100"/>
        <c:noMultiLvlLbl val="0"/>
      </c:catAx>
      <c:valAx>
        <c:axId val="77729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01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[HR_data.xlsx]Sheet1!PivotTable24</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Sheet1!$D$75</c:f>
              <c:strCache>
                <c:ptCount val="1"/>
                <c:pt idx="0">
                  <c:v>Total</c:v>
                </c:pt>
              </c:strCache>
            </c:strRef>
          </c:tx>
          <c:spPr>
            <a:ln w="28575" cap="rnd">
              <a:solidFill>
                <a:schemeClr val="accent1"/>
              </a:solidFill>
              <a:round/>
            </a:ln>
            <a:effectLst/>
          </c:spPr>
          <c:marker>
            <c:symbol val="none"/>
          </c:marker>
          <c:cat>
            <c:strRef>
              <c:f>Sheet1!$C$76:$C$79</c:f>
              <c:strCache>
                <c:ptCount val="3"/>
                <c:pt idx="0">
                  <c:v>2018</c:v>
                </c:pt>
                <c:pt idx="1">
                  <c:v>2019</c:v>
                </c:pt>
                <c:pt idx="2">
                  <c:v>2020</c:v>
                </c:pt>
              </c:strCache>
            </c:strRef>
          </c:cat>
          <c:val>
            <c:numRef>
              <c:f>Sheet1!$D$76:$D$79</c:f>
              <c:numCache>
                <c:formatCode>General</c:formatCode>
                <c:ptCount val="3"/>
                <c:pt idx="0">
                  <c:v>59233.128834355826</c:v>
                </c:pt>
                <c:pt idx="1">
                  <c:v>60787.781350482313</c:v>
                </c:pt>
                <c:pt idx="2">
                  <c:v>60167.130919220057</c:v>
                </c:pt>
              </c:numCache>
            </c:numRef>
          </c:val>
          <c:smooth val="1"/>
          <c:extLst>
            <c:ext xmlns:c16="http://schemas.microsoft.com/office/drawing/2014/chart" uri="{C3380CC4-5D6E-409C-BE32-E72D297353CC}">
              <c16:uniqueId val="{00000000-8E24-4E52-BF6E-D188BCFF69AD}"/>
            </c:ext>
          </c:extLst>
        </c:ser>
        <c:dLbls>
          <c:showLegendKey val="0"/>
          <c:showVal val="0"/>
          <c:showCatName val="0"/>
          <c:showSerName val="0"/>
          <c:showPercent val="0"/>
          <c:showBubbleSize val="0"/>
        </c:dLbls>
        <c:smooth val="0"/>
        <c:axId val="774786568"/>
        <c:axId val="774780992"/>
      </c:lineChart>
      <c:catAx>
        <c:axId val="77478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780992"/>
        <c:crosses val="autoZero"/>
        <c:auto val="1"/>
        <c:lblAlgn val="ctr"/>
        <c:lblOffset val="100"/>
        <c:noMultiLvlLbl val="0"/>
      </c:catAx>
      <c:valAx>
        <c:axId val="77478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7865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[HR_data.xlsx]Sheet1!PivotTable2</c:name>
    <c:fmtId val="3"/>
  </c:pivotSource>
  <c:chart>
    <c:autoTitleDeleted val="1"/>
    <c:pivotFmts>
      <c:pivotFmt>
        <c:idx val="0"/>
        <c:spPr>
          <a:solidFill>
            <a:schemeClr val="accent1"/>
          </a:solidFill>
          <a:ln w="2540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lumMod val="75000"/>
              </a:schemeClr>
            </a:solidFill>
            <a:round/>
          </a:ln>
          <a:effectLst/>
        </c:spPr>
        <c:marker>
          <c:symbol val="none"/>
        </c:marker>
      </c:pivotFmt>
      <c:pivotFmt>
        <c:idx val="2"/>
        <c:spPr>
          <a:solidFill>
            <a:schemeClr val="accent1"/>
          </a:solidFill>
          <a:ln w="25400" cap="rnd">
            <a:solidFill>
              <a:schemeClr val="accent1">
                <a:lumMod val="75000"/>
              </a:schemeClr>
            </a:solidFill>
            <a:round/>
          </a:ln>
          <a:effectLst/>
        </c:spPr>
        <c:marker>
          <c:symbol val="none"/>
        </c:marker>
      </c:pivotFmt>
    </c:pivotFmts>
    <c:plotArea>
      <c:layout>
        <c:manualLayout>
          <c:layoutTarget val="inner"/>
          <c:xMode val="edge"/>
          <c:yMode val="edge"/>
          <c:x val="0"/>
          <c:y val="0.22460518706348148"/>
          <c:w val="0.92156862745098034"/>
          <c:h val="0.52840651274522887"/>
        </c:manualLayout>
      </c:layout>
      <c:lineChart>
        <c:grouping val="standard"/>
        <c:varyColors val="0"/>
        <c:dLbls>
          <c:showLegendKey val="0"/>
          <c:showVal val="0"/>
          <c:showCatName val="0"/>
          <c:showSerName val="0"/>
          <c:showPercent val="0"/>
          <c:showBubbleSize val="0"/>
        </c:dLbls>
        <c:marker val="1"/>
        <c:smooth val="0"/>
        <c:axId val="701574808"/>
        <c:axId val="439251064"/>
      </c:lineChart>
      <c:catAx>
        <c:axId val="701574808"/>
        <c:scaling>
          <c:orientation val="minMax"/>
        </c:scaling>
        <c:delete val="1"/>
        <c:axPos val="b"/>
        <c:numFmt formatCode="General" sourceLinked="1"/>
        <c:majorTickMark val="out"/>
        <c:minorTickMark val="none"/>
        <c:tickLblPos val="nextTo"/>
        <c:crossAx val="439251064"/>
        <c:crosses val="autoZero"/>
        <c:auto val="1"/>
        <c:lblAlgn val="ctr"/>
        <c:lblOffset val="100"/>
        <c:noMultiLvlLbl val="0"/>
      </c:catAx>
      <c:valAx>
        <c:axId val="439251064"/>
        <c:scaling>
          <c:orientation val="minMax"/>
        </c:scaling>
        <c:delete val="1"/>
        <c:axPos val="l"/>
        <c:numFmt formatCode="General" sourceLinked="1"/>
        <c:majorTickMark val="out"/>
        <c:minorTickMark val="none"/>
        <c:tickLblPos val="nextTo"/>
        <c:crossAx val="7015748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[HR_data.xlsx]Sheet1!PivotTable12</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lumMod val="75000"/>
              </a:schemeClr>
            </a:solidFill>
            <a:round/>
          </a:ln>
          <a:effectLst/>
        </c:spPr>
        <c:marker>
          <c:symbol val="none"/>
        </c:marker>
      </c:pivotFmt>
      <c:pivotFmt>
        <c:idx val="2"/>
        <c:spPr>
          <a:solidFill>
            <a:schemeClr val="accent1"/>
          </a:solidFill>
          <a:ln w="28575" cap="rnd">
            <a:solidFill>
              <a:schemeClr val="accent1">
                <a:lumMod val="75000"/>
              </a:schemeClr>
            </a:solidFill>
            <a:round/>
          </a:ln>
          <a:effectLst/>
        </c:spPr>
        <c:marker>
          <c:symbol val="none"/>
        </c:marker>
      </c:pivotFmt>
      <c:pivotFmt>
        <c:idx val="3"/>
        <c:spPr>
          <a:solidFill>
            <a:schemeClr val="accent1"/>
          </a:solidFill>
          <a:ln w="28575" cap="rnd">
            <a:solidFill>
              <a:srgbClr val="00B050"/>
            </a:solidFill>
            <a:round/>
          </a:ln>
          <a:effectLst/>
        </c:spPr>
        <c:marker>
          <c:symbol val="none"/>
        </c:marker>
      </c:pivotFmt>
      <c:pivotFmt>
        <c:idx val="4"/>
        <c:spPr>
          <a:ln w="25400" cap="rnd">
            <a:solidFill>
              <a:srgbClr val="00B050"/>
            </a:solidFill>
            <a:round/>
          </a:ln>
          <a:effectLst/>
        </c:spPr>
        <c:marker>
          <c:symbol val="none"/>
        </c:marker>
      </c:pivotFmt>
    </c:pivotFmts>
    <c:plotArea>
      <c:layout/>
      <c:lineChart>
        <c:grouping val="standard"/>
        <c:varyColors val="0"/>
        <c:ser>
          <c:idx val="0"/>
          <c:order val="0"/>
          <c:tx>
            <c:strRef>
              <c:f>Sheet1!$D$43</c:f>
              <c:strCache>
                <c:ptCount val="1"/>
                <c:pt idx="0">
                  <c:v>Total</c:v>
                </c:pt>
              </c:strCache>
            </c:strRef>
          </c:tx>
          <c:spPr>
            <a:ln w="25400" cap="rnd">
              <a:solidFill>
                <a:srgbClr val="00B050"/>
              </a:solidFill>
              <a:round/>
            </a:ln>
            <a:effectLst/>
          </c:spPr>
          <c:marker>
            <c:symbol val="none"/>
          </c:marker>
          <c:cat>
            <c:strRef>
              <c:f>Sheet1!$C$44:$C$47</c:f>
              <c:strCache>
                <c:ptCount val="3"/>
                <c:pt idx="0">
                  <c:v>2018</c:v>
                </c:pt>
                <c:pt idx="1">
                  <c:v>2019</c:v>
                </c:pt>
                <c:pt idx="2">
                  <c:v>2020</c:v>
                </c:pt>
              </c:strCache>
            </c:strRef>
          </c:cat>
          <c:val>
            <c:numRef>
              <c:f>Sheet1!$D$44:$D$47</c:f>
              <c:numCache>
                <c:formatCode>0.0%</c:formatCode>
                <c:ptCount val="3"/>
                <c:pt idx="0">
                  <c:v>3.0053763440860215</c:v>
                </c:pt>
                <c:pt idx="1">
                  <c:v>2.9766233766233765</c:v>
                </c:pt>
                <c:pt idx="2">
                  <c:v>3.0582750582750582</c:v>
                </c:pt>
              </c:numCache>
            </c:numRef>
          </c:val>
          <c:smooth val="1"/>
          <c:extLst>
            <c:ext xmlns:c16="http://schemas.microsoft.com/office/drawing/2014/chart" uri="{C3380CC4-5D6E-409C-BE32-E72D297353CC}">
              <c16:uniqueId val="{00000000-FA0B-4461-9993-A950E5B18F11}"/>
            </c:ext>
          </c:extLst>
        </c:ser>
        <c:dLbls>
          <c:showLegendKey val="0"/>
          <c:showVal val="0"/>
          <c:showCatName val="0"/>
          <c:showSerName val="0"/>
          <c:showPercent val="0"/>
          <c:showBubbleSize val="0"/>
        </c:dLbls>
        <c:smooth val="0"/>
        <c:axId val="708505032"/>
        <c:axId val="708496504"/>
      </c:lineChart>
      <c:catAx>
        <c:axId val="708505032"/>
        <c:scaling>
          <c:orientation val="minMax"/>
        </c:scaling>
        <c:delete val="1"/>
        <c:axPos val="b"/>
        <c:numFmt formatCode="General" sourceLinked="1"/>
        <c:majorTickMark val="none"/>
        <c:minorTickMark val="none"/>
        <c:tickLblPos val="nextTo"/>
        <c:crossAx val="708496504"/>
        <c:crosses val="autoZero"/>
        <c:auto val="1"/>
        <c:lblAlgn val="ctr"/>
        <c:lblOffset val="100"/>
        <c:noMultiLvlLbl val="0"/>
      </c:catAx>
      <c:valAx>
        <c:axId val="708496504"/>
        <c:scaling>
          <c:orientation val="minMax"/>
        </c:scaling>
        <c:delete val="1"/>
        <c:axPos val="l"/>
        <c:numFmt formatCode="0.0%" sourceLinked="1"/>
        <c:majorTickMark val="none"/>
        <c:minorTickMark val="none"/>
        <c:tickLblPos val="nextTo"/>
        <c:crossAx val="7085050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[HR_data.xlsx]Sheet1!PivotTable13</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lumMod val="75000"/>
              </a:schemeClr>
            </a:solidFill>
            <a:round/>
          </a:ln>
          <a:effectLst/>
        </c:spPr>
        <c:marker>
          <c:symbol val="none"/>
        </c:marker>
      </c:pivotFmt>
      <c:pivotFmt>
        <c:idx val="2"/>
        <c:spPr>
          <a:solidFill>
            <a:schemeClr val="accent1"/>
          </a:solidFill>
          <a:ln w="28575" cap="rnd">
            <a:solidFill>
              <a:schemeClr val="accent1">
                <a:lumMod val="75000"/>
              </a:schemeClr>
            </a:solidFill>
            <a:round/>
          </a:ln>
          <a:effectLst/>
        </c:spPr>
        <c:marker>
          <c:symbol val="none"/>
        </c:marker>
      </c:pivotFmt>
      <c:pivotFmt>
        <c:idx val="3"/>
        <c:spPr>
          <a:ln w="25400" cap="rnd">
            <a:solidFill>
              <a:schemeClr val="accent1">
                <a:lumMod val="75000"/>
              </a:schemeClr>
            </a:solidFill>
            <a:round/>
          </a:ln>
          <a:effectLst/>
        </c:spPr>
        <c:marker>
          <c:symbol val="none"/>
        </c:marker>
      </c:pivotFmt>
    </c:pivotFmts>
    <c:plotArea>
      <c:layout/>
      <c:lineChart>
        <c:grouping val="standard"/>
        <c:varyColors val="0"/>
        <c:ser>
          <c:idx val="0"/>
          <c:order val="0"/>
          <c:tx>
            <c:strRef>
              <c:f>Sheet1!$G$43</c:f>
              <c:strCache>
                <c:ptCount val="1"/>
                <c:pt idx="0">
                  <c:v>Total</c:v>
                </c:pt>
              </c:strCache>
            </c:strRef>
          </c:tx>
          <c:spPr>
            <a:ln w="25400" cap="rnd">
              <a:solidFill>
                <a:schemeClr val="accent1">
                  <a:lumMod val="75000"/>
                </a:schemeClr>
              </a:solidFill>
              <a:round/>
            </a:ln>
            <a:effectLst/>
          </c:spPr>
          <c:marker>
            <c:symbol val="none"/>
          </c:marker>
          <c:cat>
            <c:strRef>
              <c:f>Sheet1!$F$44:$F$47</c:f>
              <c:strCache>
                <c:ptCount val="3"/>
                <c:pt idx="0">
                  <c:v>2018</c:v>
                </c:pt>
                <c:pt idx="1">
                  <c:v>2019</c:v>
                </c:pt>
                <c:pt idx="2">
                  <c:v>2020</c:v>
                </c:pt>
              </c:strCache>
            </c:strRef>
          </c:cat>
          <c:val>
            <c:numRef>
              <c:f>Sheet1!$G$44:$G$47</c:f>
              <c:numCache>
                <c:formatCode>General</c:formatCode>
                <c:ptCount val="3"/>
                <c:pt idx="0">
                  <c:v>59233.128834355826</c:v>
                </c:pt>
                <c:pt idx="1">
                  <c:v>60787.781350482313</c:v>
                </c:pt>
                <c:pt idx="2">
                  <c:v>60167.130919220057</c:v>
                </c:pt>
              </c:numCache>
            </c:numRef>
          </c:val>
          <c:smooth val="1"/>
          <c:extLst>
            <c:ext xmlns:c16="http://schemas.microsoft.com/office/drawing/2014/chart" uri="{C3380CC4-5D6E-409C-BE32-E72D297353CC}">
              <c16:uniqueId val="{00000000-562D-40CB-AC44-567335842B53}"/>
            </c:ext>
          </c:extLst>
        </c:ser>
        <c:dLbls>
          <c:showLegendKey val="0"/>
          <c:showVal val="0"/>
          <c:showCatName val="0"/>
          <c:showSerName val="0"/>
          <c:showPercent val="0"/>
          <c:showBubbleSize val="0"/>
        </c:dLbls>
        <c:smooth val="0"/>
        <c:axId val="706237128"/>
        <c:axId val="706238440"/>
      </c:lineChart>
      <c:catAx>
        <c:axId val="706237128"/>
        <c:scaling>
          <c:orientation val="minMax"/>
        </c:scaling>
        <c:delete val="1"/>
        <c:axPos val="b"/>
        <c:numFmt formatCode="General" sourceLinked="1"/>
        <c:majorTickMark val="none"/>
        <c:minorTickMark val="none"/>
        <c:tickLblPos val="nextTo"/>
        <c:crossAx val="706238440"/>
        <c:crosses val="autoZero"/>
        <c:auto val="1"/>
        <c:lblAlgn val="ctr"/>
        <c:lblOffset val="100"/>
        <c:noMultiLvlLbl val="0"/>
      </c:catAx>
      <c:valAx>
        <c:axId val="706238440"/>
        <c:scaling>
          <c:orientation val="minMax"/>
        </c:scaling>
        <c:delete val="1"/>
        <c:axPos val="l"/>
        <c:numFmt formatCode="General" sourceLinked="1"/>
        <c:majorTickMark val="none"/>
        <c:minorTickMark val="none"/>
        <c:tickLblPos val="nextTo"/>
        <c:crossAx val="706237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[HR_data.xlsx]Sheet1!PivotTable14</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2"/>
            </a:solidFill>
            <a:round/>
          </a:ln>
          <a:effectLst/>
        </c:spPr>
        <c:marker>
          <c:symbol val="none"/>
        </c:marker>
      </c:pivotFmt>
      <c:pivotFmt>
        <c:idx val="3"/>
        <c:spPr>
          <a:ln w="25400" cap="rnd">
            <a:solidFill>
              <a:schemeClr val="accent2"/>
            </a:solidFill>
            <a:round/>
          </a:ln>
          <a:effectLst/>
        </c:spPr>
        <c:marker>
          <c:symbol val="none"/>
        </c:marker>
      </c:pivotFmt>
    </c:pivotFmts>
    <c:plotArea>
      <c:layout/>
      <c:lineChart>
        <c:grouping val="standard"/>
        <c:varyColors val="0"/>
        <c:ser>
          <c:idx val="0"/>
          <c:order val="0"/>
          <c:tx>
            <c:strRef>
              <c:f>Sheet1!$E$53</c:f>
              <c:strCache>
                <c:ptCount val="1"/>
                <c:pt idx="0">
                  <c:v>Total</c:v>
                </c:pt>
              </c:strCache>
            </c:strRef>
          </c:tx>
          <c:spPr>
            <a:ln w="25400" cap="rnd">
              <a:solidFill>
                <a:schemeClr val="accent2"/>
              </a:solidFill>
              <a:round/>
            </a:ln>
            <a:effectLst/>
          </c:spPr>
          <c:marker>
            <c:symbol val="none"/>
          </c:marker>
          <c:cat>
            <c:strRef>
              <c:f>Sheet1!$D$54:$D$57</c:f>
              <c:strCache>
                <c:ptCount val="3"/>
                <c:pt idx="0">
                  <c:v>2018</c:v>
                </c:pt>
                <c:pt idx="1">
                  <c:v>2019</c:v>
                </c:pt>
                <c:pt idx="2">
                  <c:v>2020</c:v>
                </c:pt>
              </c:strCache>
            </c:strRef>
          </c:cat>
          <c:val>
            <c:numRef>
              <c:f>Sheet1!$E$54:$E$57</c:f>
              <c:numCache>
                <c:formatCode>General</c:formatCode>
                <c:ptCount val="3"/>
                <c:pt idx="0">
                  <c:v>186</c:v>
                </c:pt>
                <c:pt idx="1">
                  <c:v>385</c:v>
                </c:pt>
                <c:pt idx="2">
                  <c:v>429</c:v>
                </c:pt>
              </c:numCache>
            </c:numRef>
          </c:val>
          <c:smooth val="1"/>
          <c:extLst>
            <c:ext xmlns:c16="http://schemas.microsoft.com/office/drawing/2014/chart" uri="{C3380CC4-5D6E-409C-BE32-E72D297353CC}">
              <c16:uniqueId val="{00000000-ECBA-4603-8E04-D2268F5A9C86}"/>
            </c:ext>
          </c:extLst>
        </c:ser>
        <c:dLbls>
          <c:showLegendKey val="0"/>
          <c:showVal val="0"/>
          <c:showCatName val="0"/>
          <c:showSerName val="0"/>
          <c:showPercent val="0"/>
          <c:showBubbleSize val="0"/>
        </c:dLbls>
        <c:smooth val="0"/>
        <c:axId val="705479976"/>
        <c:axId val="705475384"/>
      </c:lineChart>
      <c:catAx>
        <c:axId val="705479976"/>
        <c:scaling>
          <c:orientation val="minMax"/>
        </c:scaling>
        <c:delete val="1"/>
        <c:axPos val="b"/>
        <c:numFmt formatCode="General" sourceLinked="1"/>
        <c:majorTickMark val="none"/>
        <c:minorTickMark val="none"/>
        <c:tickLblPos val="nextTo"/>
        <c:crossAx val="705475384"/>
        <c:crosses val="autoZero"/>
        <c:auto val="1"/>
        <c:lblAlgn val="ctr"/>
        <c:lblOffset val="100"/>
        <c:noMultiLvlLbl val="0"/>
      </c:catAx>
      <c:valAx>
        <c:axId val="705475384"/>
        <c:scaling>
          <c:orientation val="minMax"/>
        </c:scaling>
        <c:delete val="1"/>
        <c:axPos val="l"/>
        <c:numFmt formatCode="General" sourceLinked="1"/>
        <c:majorTickMark val="none"/>
        <c:minorTickMark val="none"/>
        <c:tickLblPos val="nextTo"/>
        <c:crossAx val="7054799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6.1111111111111109E-2"/>
          <c:y val="0"/>
          <c:w val="0.93888888888888888"/>
          <c:h val="0.89814814814814814"/>
        </c:manualLayout>
      </c:layout>
      <c:barChart>
        <c:barDir val="col"/>
        <c:grouping val="clustered"/>
        <c:varyColors val="0"/>
        <c:ser>
          <c:idx val="0"/>
          <c:order val="0"/>
          <c:tx>
            <c:strRef>
              <c:f>Sheet1!$I$24</c:f>
              <c:strCache>
                <c:ptCount val="1"/>
                <c:pt idx="0">
                  <c:v>Total</c:v>
                </c:pt>
              </c:strCache>
            </c:strRef>
          </c:tx>
          <c:spPr>
            <a:solidFill>
              <a:schemeClr val="accent1"/>
            </a:solidFill>
            <a:ln>
              <a:noFill/>
            </a:ln>
            <a:effectLst/>
          </c:spPr>
          <c:invertIfNegative val="0"/>
          <c:cat>
            <c:strRef>
              <c:f>Sheet1!$H$25:$H$30</c:f>
              <c:strCache>
                <c:ptCount val="5"/>
                <c:pt idx="0">
                  <c:v>Finance</c:v>
                </c:pt>
                <c:pt idx="1">
                  <c:v>HR</c:v>
                </c:pt>
                <c:pt idx="2">
                  <c:v>IT</c:v>
                </c:pt>
                <c:pt idx="3">
                  <c:v>Marketing</c:v>
                </c:pt>
                <c:pt idx="4">
                  <c:v>Sales</c:v>
                </c:pt>
              </c:strCache>
            </c:strRef>
          </c:cat>
          <c:val>
            <c:numRef>
              <c:f>Sheet1!$I$25:$I$30</c:f>
              <c:numCache>
                <c:formatCode>General</c:formatCode>
                <c:ptCount val="5"/>
                <c:pt idx="0">
                  <c:v>59971.590909090912</c:v>
                </c:pt>
                <c:pt idx="1">
                  <c:v>60261.627906976741</c:v>
                </c:pt>
                <c:pt idx="2">
                  <c:v>59756.097560975613</c:v>
                </c:pt>
                <c:pt idx="3">
                  <c:v>60065.359477124184</c:v>
                </c:pt>
                <c:pt idx="4">
                  <c:v>61011.904761904763</c:v>
                </c:pt>
              </c:numCache>
            </c:numRef>
          </c:val>
          <c:extLst>
            <c:ext xmlns:c16="http://schemas.microsoft.com/office/drawing/2014/chart" uri="{C3380CC4-5D6E-409C-BE32-E72D297353CC}">
              <c16:uniqueId val="{00000000-4C63-4420-888A-A0300A2248C9}"/>
            </c:ext>
          </c:extLst>
        </c:ser>
        <c:dLbls>
          <c:showLegendKey val="0"/>
          <c:showVal val="0"/>
          <c:showCatName val="0"/>
          <c:showSerName val="0"/>
          <c:showPercent val="0"/>
          <c:showBubbleSize val="0"/>
        </c:dLbls>
        <c:gapWidth val="219"/>
        <c:axId val="711073728"/>
        <c:axId val="711075368"/>
      </c:barChart>
      <c:catAx>
        <c:axId val="71107372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711075368"/>
        <c:crosses val="autoZero"/>
        <c:auto val="1"/>
        <c:lblAlgn val="ctr"/>
        <c:lblOffset val="100"/>
        <c:noMultiLvlLbl val="0"/>
      </c:catAx>
      <c:valAx>
        <c:axId val="7110753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7110737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[HR_data.xlsx]Sheet1!PivotTable15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marker>
          <c:symbol val="none"/>
        </c:marker>
      </c:pivotFmt>
      <c:pivotFmt>
        <c:idx val="20"/>
        <c:spPr>
          <a:solidFill>
            <a:schemeClr val="accent1"/>
          </a:solidFill>
          <a:ln w="19050">
            <a:noFill/>
          </a:ln>
          <a:effectLst/>
        </c:spPr>
        <c:marker>
          <c:symbol val="none"/>
        </c:marker>
      </c:pivotFmt>
    </c:pivotFmts>
    <c:plotArea>
      <c:layout/>
      <c:barChart>
        <c:barDir val="col"/>
        <c:grouping val="clustered"/>
        <c:varyColors val="0"/>
        <c:ser>
          <c:idx val="0"/>
          <c:order val="0"/>
          <c:tx>
            <c:strRef>
              <c:f>Sheet1!$J$33</c:f>
              <c:strCache>
                <c:ptCount val="1"/>
                <c:pt idx="0">
                  <c:v>Total</c:v>
                </c:pt>
              </c:strCache>
            </c:strRef>
          </c:tx>
          <c:spPr>
            <a:solidFill>
              <a:schemeClr val="accent1"/>
            </a:solidFill>
            <a:ln w="19050">
              <a:noFill/>
            </a:ln>
            <a:effectLst/>
          </c:spPr>
          <c:invertIfNegative val="0"/>
          <c:cat>
            <c:strRef>
              <c:f>Sheet1!$I$34:$I$39</c:f>
              <c:strCache>
                <c:ptCount val="5"/>
                <c:pt idx="0">
                  <c:v>A</c:v>
                </c:pt>
                <c:pt idx="1">
                  <c:v>B</c:v>
                </c:pt>
                <c:pt idx="2">
                  <c:v>C</c:v>
                </c:pt>
                <c:pt idx="3">
                  <c:v>D</c:v>
                </c:pt>
                <c:pt idx="4">
                  <c:v>F</c:v>
                </c:pt>
              </c:strCache>
            </c:strRef>
          </c:cat>
          <c:val>
            <c:numRef>
              <c:f>Sheet1!$J$34:$J$39</c:f>
              <c:numCache>
                <c:formatCode>0.0</c:formatCode>
                <c:ptCount val="5"/>
                <c:pt idx="0">
                  <c:v>60156.25</c:v>
                </c:pt>
                <c:pt idx="1">
                  <c:v>60638.297872340423</c:v>
                </c:pt>
                <c:pt idx="2">
                  <c:v>59705.882352941175</c:v>
                </c:pt>
                <c:pt idx="3">
                  <c:v>60152.439024390245</c:v>
                </c:pt>
                <c:pt idx="4">
                  <c:v>60327.380952380954</c:v>
                </c:pt>
              </c:numCache>
            </c:numRef>
          </c:val>
          <c:extLst>
            <c:ext xmlns:c16="http://schemas.microsoft.com/office/drawing/2014/chart" uri="{C3380CC4-5D6E-409C-BE32-E72D297353CC}">
              <c16:uniqueId val="{0000000A-D7B5-4898-9DE6-92F0941BD22C}"/>
            </c:ext>
          </c:extLst>
        </c:ser>
        <c:dLbls>
          <c:showLegendKey val="0"/>
          <c:showVal val="0"/>
          <c:showCatName val="0"/>
          <c:showSerName val="0"/>
          <c:showPercent val="0"/>
          <c:showBubbleSize val="0"/>
        </c:dLbls>
        <c:gapWidth val="100"/>
        <c:axId val="439246800"/>
        <c:axId val="439248112"/>
      </c:barChart>
      <c:catAx>
        <c:axId val="43924680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439248112"/>
        <c:crosses val="autoZero"/>
        <c:auto val="1"/>
        <c:lblAlgn val="ctr"/>
        <c:lblOffset val="100"/>
        <c:noMultiLvlLbl val="0"/>
      </c:catAx>
      <c:valAx>
        <c:axId val="439248112"/>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439246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3428437407124927"/>
          <c:y val="4.6296296296296294E-2"/>
          <c:w val="0.82024040992147473"/>
          <c:h val="0.8416746864975212"/>
        </c:manualLayout>
      </c:layout>
      <c:barChart>
        <c:barDir val="col"/>
        <c:grouping val="clustered"/>
        <c:varyColors val="0"/>
        <c:ser>
          <c:idx val="0"/>
          <c:order val="0"/>
          <c:tx>
            <c:strRef>
              <c:f>Sheet1!$H$53</c:f>
              <c:strCache>
                <c:ptCount val="1"/>
                <c:pt idx="0">
                  <c:v>Total</c:v>
                </c:pt>
              </c:strCache>
            </c:strRef>
          </c:tx>
          <c:spPr>
            <a:solidFill>
              <a:schemeClr val="accent1"/>
            </a:solidFill>
            <a:ln>
              <a:noFill/>
            </a:ln>
            <a:effectLst/>
          </c:spPr>
          <c:invertIfNegative val="0"/>
          <c:cat>
            <c:strRef>
              <c:f>Sheet1!$G$54:$G$59</c:f>
              <c:strCache>
                <c:ptCount val="5"/>
                <c:pt idx="0">
                  <c:v>A</c:v>
                </c:pt>
                <c:pt idx="1">
                  <c:v>B</c:v>
                </c:pt>
                <c:pt idx="2">
                  <c:v>C</c:v>
                </c:pt>
                <c:pt idx="3">
                  <c:v>D</c:v>
                </c:pt>
                <c:pt idx="4">
                  <c:v>F</c:v>
                </c:pt>
              </c:strCache>
            </c:strRef>
          </c:cat>
          <c:val>
            <c:numRef>
              <c:f>Sheet1!$H$54:$H$59</c:f>
              <c:numCache>
                <c:formatCode>General</c:formatCode>
                <c:ptCount val="5"/>
                <c:pt idx="0">
                  <c:v>193</c:v>
                </c:pt>
                <c:pt idx="1">
                  <c:v>225</c:v>
                </c:pt>
                <c:pt idx="2">
                  <c:v>192</c:v>
                </c:pt>
                <c:pt idx="3">
                  <c:v>189</c:v>
                </c:pt>
                <c:pt idx="4">
                  <c:v>201</c:v>
                </c:pt>
              </c:numCache>
            </c:numRef>
          </c:val>
          <c:extLst>
            <c:ext xmlns:c16="http://schemas.microsoft.com/office/drawing/2014/chart" uri="{C3380CC4-5D6E-409C-BE32-E72D297353CC}">
              <c16:uniqueId val="{00000000-DD24-4581-802C-CAF254F4026F}"/>
            </c:ext>
          </c:extLst>
        </c:ser>
        <c:dLbls>
          <c:showLegendKey val="0"/>
          <c:showVal val="0"/>
          <c:showCatName val="0"/>
          <c:showSerName val="0"/>
          <c:showPercent val="0"/>
          <c:showBubbleSize val="0"/>
        </c:dLbls>
        <c:gapWidth val="219"/>
        <c:overlap val="-27"/>
        <c:axId val="711074384"/>
        <c:axId val="711074712"/>
      </c:barChart>
      <c:catAx>
        <c:axId val="7110743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711074712"/>
        <c:crosses val="autoZero"/>
        <c:auto val="1"/>
        <c:lblAlgn val="ctr"/>
        <c:lblOffset val="100"/>
        <c:noMultiLvlLbl val="0"/>
      </c:catAx>
      <c:valAx>
        <c:axId val="7110747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7110743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[HR_data.xlsx]Sheet1!PivotTable23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Sheet1!$F$65</c:f>
              <c:strCache>
                <c:ptCount val="1"/>
                <c:pt idx="0">
                  <c:v>Total</c:v>
                </c:pt>
              </c:strCache>
            </c:strRef>
          </c:tx>
          <c:spPr>
            <a:solidFill>
              <a:schemeClr val="accent1"/>
            </a:solidFill>
            <a:ln>
              <a:noFill/>
            </a:ln>
            <a:effectLst/>
          </c:spPr>
          <c:invertIfNegative val="0"/>
          <c:cat>
            <c:strRef>
              <c:f>Sheet1!$E$66:$E$72</c:f>
              <c:strCache>
                <c:ptCount val="6"/>
                <c:pt idx="0">
                  <c:v>25</c:v>
                </c:pt>
                <c:pt idx="1">
                  <c:v>30</c:v>
                </c:pt>
                <c:pt idx="2">
                  <c:v>35</c:v>
                </c:pt>
                <c:pt idx="3">
                  <c:v>40</c:v>
                </c:pt>
                <c:pt idx="4">
                  <c:v>50</c:v>
                </c:pt>
                <c:pt idx="5">
                  <c:v> </c:v>
                </c:pt>
              </c:strCache>
            </c:strRef>
          </c:cat>
          <c:val>
            <c:numRef>
              <c:f>Sheet1!$F$66:$F$72</c:f>
              <c:numCache>
                <c:formatCode>General</c:formatCode>
                <c:ptCount val="6"/>
                <c:pt idx="0">
                  <c:v>171</c:v>
                </c:pt>
                <c:pt idx="1">
                  <c:v>176</c:v>
                </c:pt>
                <c:pt idx="2">
                  <c:v>163</c:v>
                </c:pt>
                <c:pt idx="3">
                  <c:v>170</c:v>
                </c:pt>
                <c:pt idx="4">
                  <c:v>161</c:v>
                </c:pt>
                <c:pt idx="5">
                  <c:v>159</c:v>
                </c:pt>
              </c:numCache>
            </c:numRef>
          </c:val>
          <c:extLst>
            <c:ext xmlns:c16="http://schemas.microsoft.com/office/drawing/2014/chart" uri="{C3380CC4-5D6E-409C-BE32-E72D297353CC}">
              <c16:uniqueId val="{00000000-DE0E-463D-8125-C0CE97BC2948}"/>
            </c:ext>
          </c:extLst>
        </c:ser>
        <c:dLbls>
          <c:showLegendKey val="0"/>
          <c:showVal val="0"/>
          <c:showCatName val="0"/>
          <c:showSerName val="0"/>
          <c:showPercent val="0"/>
          <c:showBubbleSize val="0"/>
        </c:dLbls>
        <c:gapWidth val="182"/>
        <c:axId val="777301848"/>
        <c:axId val="777296928"/>
      </c:barChart>
      <c:catAx>
        <c:axId val="7773018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777296928"/>
        <c:crosses val="autoZero"/>
        <c:auto val="1"/>
        <c:lblAlgn val="ctr"/>
        <c:lblOffset val="100"/>
        <c:noMultiLvlLbl val="0"/>
      </c:catAx>
      <c:valAx>
        <c:axId val="77729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777301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[HR_data.xlsx]Sheet1!PivotTable24</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s>
    <c:plotArea>
      <c:layout/>
      <c:lineChart>
        <c:grouping val="standard"/>
        <c:varyColors val="0"/>
        <c:ser>
          <c:idx val="0"/>
          <c:order val="0"/>
          <c:tx>
            <c:strRef>
              <c:f>Sheet1!$D$75</c:f>
              <c:strCache>
                <c:ptCount val="1"/>
                <c:pt idx="0">
                  <c:v>Total</c:v>
                </c:pt>
              </c:strCache>
            </c:strRef>
          </c:tx>
          <c:spPr>
            <a:ln w="28575" cap="rnd">
              <a:solidFill>
                <a:schemeClr val="accent1"/>
              </a:solidFill>
              <a:round/>
            </a:ln>
            <a:effectLst/>
          </c:spPr>
          <c:marker>
            <c:symbol val="none"/>
          </c:marker>
          <c:cat>
            <c:strRef>
              <c:f>Sheet1!$C$76:$C$79</c:f>
              <c:strCache>
                <c:ptCount val="3"/>
                <c:pt idx="0">
                  <c:v>2018</c:v>
                </c:pt>
                <c:pt idx="1">
                  <c:v>2019</c:v>
                </c:pt>
                <c:pt idx="2">
                  <c:v>2020</c:v>
                </c:pt>
              </c:strCache>
            </c:strRef>
          </c:cat>
          <c:val>
            <c:numRef>
              <c:f>Sheet1!$D$76:$D$79</c:f>
              <c:numCache>
                <c:formatCode>General</c:formatCode>
                <c:ptCount val="3"/>
                <c:pt idx="0">
                  <c:v>59233.128834355826</c:v>
                </c:pt>
                <c:pt idx="1">
                  <c:v>60787.781350482313</c:v>
                </c:pt>
                <c:pt idx="2">
                  <c:v>60167.130919220057</c:v>
                </c:pt>
              </c:numCache>
            </c:numRef>
          </c:val>
          <c:smooth val="1"/>
          <c:extLst>
            <c:ext xmlns:c16="http://schemas.microsoft.com/office/drawing/2014/chart" uri="{C3380CC4-5D6E-409C-BE32-E72D297353CC}">
              <c16:uniqueId val="{00000000-D9E7-45E8-ADEC-88A5E40E232B}"/>
            </c:ext>
          </c:extLst>
        </c:ser>
        <c:dLbls>
          <c:showLegendKey val="0"/>
          <c:showVal val="0"/>
          <c:showCatName val="0"/>
          <c:showSerName val="0"/>
          <c:showPercent val="0"/>
          <c:showBubbleSize val="0"/>
        </c:dLbls>
        <c:smooth val="0"/>
        <c:axId val="774786568"/>
        <c:axId val="774780992"/>
      </c:lineChart>
      <c:catAx>
        <c:axId val="7747865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774780992"/>
        <c:crosses val="autoZero"/>
        <c:auto val="1"/>
        <c:lblAlgn val="ctr"/>
        <c:lblOffset val="100"/>
        <c:noMultiLvlLbl val="0"/>
      </c:catAx>
      <c:valAx>
        <c:axId val="77478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7747865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2.png"/><Relationship Id="rId5" Type="http://schemas.openxmlformats.org/officeDocument/2006/relationships/chart" Target="../charts/chart12.xml"/><Relationship Id="rId10" Type="http://schemas.openxmlformats.org/officeDocument/2006/relationships/image" Target="../media/image1.png"/><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50</xdr:row>
      <xdr:rowOff>156210</xdr:rowOff>
    </xdr:from>
    <xdr:to>
      <xdr:col>1</xdr:col>
      <xdr:colOff>323850</xdr:colOff>
      <xdr:row>53</xdr:row>
      <xdr:rowOff>160020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54</xdr:row>
      <xdr:rowOff>114300</xdr:rowOff>
    </xdr:from>
    <xdr:to>
      <xdr:col>1</xdr:col>
      <xdr:colOff>217170</xdr:colOff>
      <xdr:row>57</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46</xdr:row>
      <xdr:rowOff>49530</xdr:rowOff>
    </xdr:from>
    <xdr:to>
      <xdr:col>1</xdr:col>
      <xdr:colOff>339090</xdr:colOff>
      <xdr:row>50</xdr:row>
      <xdr:rowOff>68580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270510</xdr:colOff>
      <xdr:row>13</xdr:row>
      <xdr:rowOff>76200</xdr:rowOff>
    </xdr:from>
    <xdr:to>
      <xdr:col>9</xdr:col>
      <xdr:colOff>944880</xdr:colOff>
      <xdr:row>23</xdr:row>
      <xdr:rowOff>72390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377190</xdr:colOff>
      <xdr:row>57</xdr:row>
      <xdr:rowOff>3810</xdr:rowOff>
    </xdr:from>
    <xdr:to>
      <xdr:col>3</xdr:col>
      <xdr:colOff>624840</xdr:colOff>
      <xdr:row>72</xdr:row>
      <xdr:rowOff>3810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674370</xdr:colOff>
      <xdr:row>60</xdr:row>
      <xdr:rowOff>57150</xdr:rowOff>
    </xdr:from>
    <xdr:to>
      <xdr:col>11</xdr:col>
      <xdr:colOff>346710</xdr:colOff>
      <xdr:row>75</xdr:row>
      <xdr:rowOff>57150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171450</xdr:colOff>
      <xdr:row>76</xdr:row>
      <xdr:rowOff>41910</xdr:rowOff>
    </xdr:from>
    <xdr:to>
      <xdr:col>9</xdr:col>
      <xdr:colOff>476250</xdr:colOff>
      <xdr:row>91</xdr:row>
      <xdr:rowOff>41910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228600</xdr:colOff>
      <xdr:row>2</xdr:row>
      <xdr:rowOff>76201</xdr:rowOff>
    </xdr:from>
    <xdr:to>
      <xdr:col>7</xdr:col>
      <xdr:colOff>411480</xdr:colOff>
      <xdr:row>6</xdr:row>
      <xdr:rowOff>7621</xdr:rowOff>
    </xdr:to>
    <mc:AlternateContent xmlns:mc="http://schemas.openxmlformats.org/markup-compatibility/2006" xmlns:a14="http://schemas.microsoft.com/office/drawing/2010/main">
      <mc:Choice Requires="a14">
        <xdr:graphicFrame macro="">
          <xdr:nvGraphicFramePr>
            <xdr:cNvPr id="1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457700" y="441961"/>
              <a:ext cx="1828800" cy="6629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480060</xdr:colOff>
      <xdr:row>14</xdr:row>
      <xdr:rowOff>53341</xdr:rowOff>
    </xdr:from>
    <xdr:to>
      <xdr:col>10</xdr:col>
      <xdr:colOff>419100</xdr:colOff>
      <xdr:row>18</xdr:row>
      <xdr:rowOff>1</xdr:rowOff>
    </xdr:to>
    <mc:AlternateContent xmlns:mc="http://schemas.openxmlformats.org/markup-compatibility/2006" xmlns:a14="http://schemas.microsoft.com/office/drawing/2010/main">
      <mc:Choice Requires="a14">
        <xdr:graphicFrame macro="">
          <xdr:nvGraphicFramePr>
            <xdr:cNvPr id="13" name="Position"/>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7178040" y="2613661"/>
              <a:ext cx="1828800" cy="6781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99060</xdr:colOff>
      <xdr:row>1</xdr:row>
      <xdr:rowOff>60961</xdr:rowOff>
    </xdr:from>
    <xdr:to>
      <xdr:col>12</xdr:col>
      <xdr:colOff>121920</xdr:colOff>
      <xdr:row>3</xdr:row>
      <xdr:rowOff>137161</xdr:rowOff>
    </xdr:to>
    <mc:AlternateContent xmlns:mc="http://schemas.openxmlformats.org/markup-compatibility/2006" xmlns:a14="http://schemas.microsoft.com/office/drawing/2010/main">
      <mc:Choice Requires="a14">
        <xdr:graphicFrame macro="">
          <xdr:nvGraphicFramePr>
            <xdr:cNvPr id="14" name="Year "/>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8686800" y="243841"/>
              <a:ext cx="1828800" cy="441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12</xdr:row>
      <xdr:rowOff>106681</xdr:rowOff>
    </xdr:from>
    <xdr:to>
      <xdr:col>13</xdr:col>
      <xdr:colOff>579120</xdr:colOff>
      <xdr:row>16</xdr:row>
      <xdr:rowOff>91440</xdr:rowOff>
    </xdr:to>
    <mc:AlternateContent xmlns:mc="http://schemas.openxmlformats.org/markup-compatibility/2006" xmlns:a14="http://schemas.microsoft.com/office/drawing/2010/main">
      <mc:Choice Requires="a14">
        <xdr:graphicFrame macro="">
          <xdr:nvGraphicFramePr>
            <xdr:cNvPr id="15" name="Performance Score"/>
            <xdr:cNvGraphicFramePr/>
          </xdr:nvGraphicFramePr>
          <xdr:xfrm>
            <a:off x="0" y="0"/>
            <a:ext cx="0" cy="0"/>
          </xdr:xfrm>
          <a:graphic>
            <a:graphicData uri="http://schemas.microsoft.com/office/drawing/2010/slicer">
              <sle:slicer xmlns:sle="http://schemas.microsoft.com/office/drawing/2010/slicer" name="Performance Score"/>
            </a:graphicData>
          </a:graphic>
        </xdr:graphicFrame>
      </mc:Choice>
      <mc:Fallback xmlns="">
        <xdr:sp macro="" textlink="">
          <xdr:nvSpPr>
            <xdr:cNvPr id="0" name=""/>
            <xdr:cNvSpPr>
              <a:spLocks noTextEdit="1"/>
            </xdr:cNvSpPr>
          </xdr:nvSpPr>
          <xdr:spPr>
            <a:xfrm>
              <a:off x="9883140" y="2301241"/>
              <a:ext cx="1828800" cy="7162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99060</xdr:rowOff>
    </xdr:from>
    <xdr:to>
      <xdr:col>23</xdr:col>
      <xdr:colOff>167640</xdr:colOff>
      <xdr:row>29</xdr:row>
      <xdr:rowOff>15240</xdr:rowOff>
    </xdr:to>
    <xdr:sp macro="" textlink="">
      <xdr:nvSpPr>
        <xdr:cNvPr id="2" name="Rounded Rectangle 1"/>
        <xdr:cNvSpPr/>
      </xdr:nvSpPr>
      <xdr:spPr>
        <a:xfrm>
          <a:off x="91440" y="99060"/>
          <a:ext cx="14081760" cy="5219700"/>
        </a:xfrm>
        <a:prstGeom prst="roundRect">
          <a:avLst>
            <a:gd name="adj" fmla="val 3312"/>
          </a:avLst>
        </a:prstGeom>
        <a:solidFill>
          <a:schemeClr val="tx1">
            <a:lumMod val="85000"/>
            <a:lumOff val="1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solidFill>
              <a:schemeClr val="bg1">
                <a:lumMod val="65000"/>
              </a:schemeClr>
            </a:solidFill>
          </a:endParaRPr>
        </a:p>
      </xdr:txBody>
    </xdr:sp>
    <xdr:clientData/>
  </xdr:twoCellAnchor>
  <xdr:twoCellAnchor>
    <xdr:from>
      <xdr:col>0</xdr:col>
      <xdr:colOff>243840</xdr:colOff>
      <xdr:row>5</xdr:row>
      <xdr:rowOff>175260</xdr:rowOff>
    </xdr:from>
    <xdr:to>
      <xdr:col>4</xdr:col>
      <xdr:colOff>83820</xdr:colOff>
      <xdr:row>10</xdr:row>
      <xdr:rowOff>152400</xdr:rowOff>
    </xdr:to>
    <xdr:sp macro="" textlink="">
      <xdr:nvSpPr>
        <xdr:cNvPr id="3" name="Rounded Rectangle 2"/>
        <xdr:cNvSpPr/>
      </xdr:nvSpPr>
      <xdr:spPr>
        <a:xfrm>
          <a:off x="243840" y="1089660"/>
          <a:ext cx="2278380" cy="891540"/>
        </a:xfrm>
        <a:prstGeom prst="roundRect">
          <a:avLst>
            <a:gd name="adj" fmla="val 7415"/>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solidFill>
                <a:schemeClr val="bg1">
                  <a:lumMod val="85000"/>
                </a:schemeClr>
              </a:solidFill>
            </a:rPr>
            <a:t>Total</a:t>
          </a:r>
          <a:r>
            <a:rPr lang="en-GB" sz="1200" baseline="0">
              <a:solidFill>
                <a:schemeClr val="bg1">
                  <a:lumMod val="85000"/>
                </a:schemeClr>
              </a:solidFill>
            </a:rPr>
            <a:t> Employees</a:t>
          </a:r>
          <a:endParaRPr lang="en-GB" sz="1200">
            <a:solidFill>
              <a:schemeClr val="bg1">
                <a:lumMod val="85000"/>
              </a:schemeClr>
            </a:solidFill>
          </a:endParaRPr>
        </a:p>
      </xdr:txBody>
    </xdr:sp>
    <xdr:clientData/>
  </xdr:twoCellAnchor>
  <xdr:twoCellAnchor>
    <xdr:from>
      <xdr:col>4</xdr:col>
      <xdr:colOff>152400</xdr:colOff>
      <xdr:row>5</xdr:row>
      <xdr:rowOff>167640</xdr:rowOff>
    </xdr:from>
    <xdr:to>
      <xdr:col>8</xdr:col>
      <xdr:colOff>22860</xdr:colOff>
      <xdr:row>10</xdr:row>
      <xdr:rowOff>137160</xdr:rowOff>
    </xdr:to>
    <xdr:sp macro="" textlink="">
      <xdr:nvSpPr>
        <xdr:cNvPr id="4" name="Rounded Rectangle 3"/>
        <xdr:cNvSpPr/>
      </xdr:nvSpPr>
      <xdr:spPr>
        <a:xfrm>
          <a:off x="2590800" y="1082040"/>
          <a:ext cx="2308860" cy="883920"/>
        </a:xfrm>
        <a:prstGeom prst="roundRect">
          <a:avLst>
            <a:gd name="adj" fmla="val 8248"/>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solidFill>
                <a:schemeClr val="bg1">
                  <a:lumMod val="85000"/>
                </a:schemeClr>
              </a:solidFill>
            </a:rPr>
            <a:t>Average Salary</a:t>
          </a:r>
        </a:p>
      </xdr:txBody>
    </xdr:sp>
    <xdr:clientData/>
  </xdr:twoCellAnchor>
  <xdr:twoCellAnchor>
    <xdr:from>
      <xdr:col>0</xdr:col>
      <xdr:colOff>259080</xdr:colOff>
      <xdr:row>11</xdr:row>
      <xdr:rowOff>53340</xdr:rowOff>
    </xdr:from>
    <xdr:to>
      <xdr:col>4</xdr:col>
      <xdr:colOff>114300</xdr:colOff>
      <xdr:row>16</xdr:row>
      <xdr:rowOff>38100</xdr:rowOff>
    </xdr:to>
    <xdr:sp macro="" textlink="">
      <xdr:nvSpPr>
        <xdr:cNvPr id="6" name="Rounded Rectangle 5"/>
        <xdr:cNvSpPr/>
      </xdr:nvSpPr>
      <xdr:spPr>
        <a:xfrm>
          <a:off x="259080" y="2065020"/>
          <a:ext cx="2293620" cy="899160"/>
        </a:xfrm>
        <a:prstGeom prst="roundRect">
          <a:avLst>
            <a:gd name="adj" fmla="val 5916"/>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solidFill>
                <a:schemeClr val="bg1">
                  <a:lumMod val="85000"/>
                </a:schemeClr>
              </a:solidFill>
            </a:rPr>
            <a:t>Average</a:t>
          </a:r>
          <a:r>
            <a:rPr lang="en-GB" sz="1200" baseline="0">
              <a:solidFill>
                <a:schemeClr val="bg1">
                  <a:lumMod val="85000"/>
                </a:schemeClr>
              </a:solidFill>
            </a:rPr>
            <a:t> Age</a:t>
          </a:r>
          <a:endParaRPr lang="en-GB" sz="1200">
            <a:solidFill>
              <a:schemeClr val="bg1">
                <a:lumMod val="85000"/>
              </a:schemeClr>
            </a:solidFill>
          </a:endParaRPr>
        </a:p>
      </xdr:txBody>
    </xdr:sp>
    <xdr:clientData/>
  </xdr:twoCellAnchor>
  <xdr:twoCellAnchor>
    <xdr:from>
      <xdr:col>4</xdr:col>
      <xdr:colOff>160020</xdr:colOff>
      <xdr:row>11</xdr:row>
      <xdr:rowOff>30480</xdr:rowOff>
    </xdr:from>
    <xdr:to>
      <xdr:col>8</xdr:col>
      <xdr:colOff>22860</xdr:colOff>
      <xdr:row>16</xdr:row>
      <xdr:rowOff>53340</xdr:rowOff>
    </xdr:to>
    <xdr:sp macro="" textlink="">
      <xdr:nvSpPr>
        <xdr:cNvPr id="7" name="Rounded Rectangle 6"/>
        <xdr:cNvSpPr/>
      </xdr:nvSpPr>
      <xdr:spPr>
        <a:xfrm>
          <a:off x="2598420" y="2042160"/>
          <a:ext cx="2301240" cy="937260"/>
        </a:xfrm>
        <a:prstGeom prst="roundRect">
          <a:avLst>
            <a:gd name="adj" fmla="val 6769"/>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solidFill>
                <a:schemeClr val="bg1">
                  <a:lumMod val="85000"/>
                </a:schemeClr>
              </a:solidFill>
            </a:rPr>
            <a:t>Average Performance  </a:t>
          </a:r>
        </a:p>
      </xdr:txBody>
    </xdr:sp>
    <xdr:clientData/>
  </xdr:twoCellAnchor>
  <xdr:twoCellAnchor>
    <xdr:from>
      <xdr:col>9</xdr:col>
      <xdr:colOff>220980</xdr:colOff>
      <xdr:row>0</xdr:row>
      <xdr:rowOff>53340</xdr:rowOff>
    </xdr:from>
    <xdr:to>
      <xdr:col>12</xdr:col>
      <xdr:colOff>266700</xdr:colOff>
      <xdr:row>2</xdr:row>
      <xdr:rowOff>121920</xdr:rowOff>
    </xdr:to>
    <xdr:sp macro="" textlink="">
      <xdr:nvSpPr>
        <xdr:cNvPr id="8" name="Rounded Rectangle 7"/>
        <xdr:cNvSpPr/>
      </xdr:nvSpPr>
      <xdr:spPr>
        <a:xfrm>
          <a:off x="5707380" y="53340"/>
          <a:ext cx="1859280" cy="434340"/>
        </a:xfrm>
        <a:prstGeom prst="roundRect">
          <a:avLst/>
        </a:prstGeom>
        <a:solidFill>
          <a:schemeClr val="tx2">
            <a:lumMod val="7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457200</xdr:colOff>
      <xdr:row>2</xdr:row>
      <xdr:rowOff>60960</xdr:rowOff>
    </xdr:from>
    <xdr:to>
      <xdr:col>5</xdr:col>
      <xdr:colOff>518160</xdr:colOff>
      <xdr:row>5</xdr:row>
      <xdr:rowOff>99060</xdr:rowOff>
    </xdr:to>
    <xdr:sp macro="" textlink="">
      <xdr:nvSpPr>
        <xdr:cNvPr id="10" name="Rounded Rectangle 9"/>
        <xdr:cNvSpPr/>
      </xdr:nvSpPr>
      <xdr:spPr>
        <a:xfrm>
          <a:off x="1066800" y="426720"/>
          <a:ext cx="2499360" cy="586740"/>
        </a:xfrm>
        <a:prstGeom prst="roundRect">
          <a:avLst>
            <a:gd name="adj" fmla="val 10834"/>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lumMod val="85000"/>
                </a:schemeClr>
              </a:solidFill>
              <a:latin typeface="+mn-lt"/>
            </a:rPr>
            <a:t>HR ANALYTICS DASHBOARD(2018-2020)</a:t>
          </a:r>
        </a:p>
      </xdr:txBody>
    </xdr:sp>
    <xdr:clientData/>
  </xdr:twoCellAnchor>
  <xdr:oneCellAnchor>
    <xdr:from>
      <xdr:col>0</xdr:col>
      <xdr:colOff>594360</xdr:colOff>
      <xdr:row>9</xdr:row>
      <xdr:rowOff>7620</xdr:rowOff>
    </xdr:from>
    <xdr:ext cx="184731" cy="264560"/>
    <xdr:sp macro="" textlink="">
      <xdr:nvSpPr>
        <xdr:cNvPr id="11" name="TextBox 10"/>
        <xdr:cNvSpPr txBox="1"/>
      </xdr:nvSpPr>
      <xdr:spPr>
        <a:xfrm>
          <a:off x="594360" y="165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0</xdr:col>
      <xdr:colOff>312420</xdr:colOff>
      <xdr:row>7</xdr:row>
      <xdr:rowOff>76200</xdr:rowOff>
    </xdr:from>
    <xdr:ext cx="1127760" cy="327660"/>
    <xdr:sp macro="" textlink="">
      <xdr:nvSpPr>
        <xdr:cNvPr id="12" name="TextBox 11"/>
        <xdr:cNvSpPr txBox="1"/>
      </xdr:nvSpPr>
      <xdr:spPr>
        <a:xfrm>
          <a:off x="312420" y="1356360"/>
          <a:ext cx="1127760"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a:solidFill>
                <a:schemeClr val="bg1">
                  <a:lumMod val="85000"/>
                </a:schemeClr>
              </a:solidFill>
            </a:rPr>
            <a:t>1000</a:t>
          </a:r>
        </a:p>
      </xdr:txBody>
    </xdr:sp>
    <xdr:clientData/>
  </xdr:oneCellAnchor>
  <xdr:oneCellAnchor>
    <xdr:from>
      <xdr:col>0</xdr:col>
      <xdr:colOff>586740</xdr:colOff>
      <xdr:row>8</xdr:row>
      <xdr:rowOff>68580</xdr:rowOff>
    </xdr:from>
    <xdr:ext cx="184731" cy="264560"/>
    <xdr:sp macro="" textlink="">
      <xdr:nvSpPr>
        <xdr:cNvPr id="19" name="TextBox 18"/>
        <xdr:cNvSpPr txBox="1"/>
      </xdr:nvSpPr>
      <xdr:spPr>
        <a:xfrm>
          <a:off x="586740" y="1531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0</xdr:col>
      <xdr:colOff>312420</xdr:colOff>
      <xdr:row>13</xdr:row>
      <xdr:rowOff>7620</xdr:rowOff>
    </xdr:from>
    <xdr:ext cx="887229" cy="373380"/>
    <xdr:sp macro="" textlink="">
      <xdr:nvSpPr>
        <xdr:cNvPr id="20" name="TextBox 19"/>
        <xdr:cNvSpPr txBox="1"/>
      </xdr:nvSpPr>
      <xdr:spPr>
        <a:xfrm>
          <a:off x="312420" y="2385060"/>
          <a:ext cx="887229"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a:solidFill>
                <a:schemeClr val="bg1">
                  <a:lumMod val="85000"/>
                </a:schemeClr>
              </a:solidFill>
            </a:rPr>
            <a:t>35.80</a:t>
          </a:r>
        </a:p>
      </xdr:txBody>
    </xdr:sp>
    <xdr:clientData/>
  </xdr:oneCellAnchor>
  <xdr:oneCellAnchor>
    <xdr:from>
      <xdr:col>4</xdr:col>
      <xdr:colOff>198120</xdr:colOff>
      <xdr:row>7</xdr:row>
      <xdr:rowOff>99060</xdr:rowOff>
    </xdr:from>
    <xdr:ext cx="1158240" cy="381000"/>
    <xdr:sp macro="" textlink="">
      <xdr:nvSpPr>
        <xdr:cNvPr id="21" name="TextBox 20"/>
        <xdr:cNvSpPr txBox="1"/>
      </xdr:nvSpPr>
      <xdr:spPr>
        <a:xfrm>
          <a:off x="2636520" y="1379220"/>
          <a:ext cx="115824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a:solidFill>
                <a:schemeClr val="bg1">
                  <a:lumMod val="85000"/>
                </a:schemeClr>
              </a:solidFill>
            </a:rPr>
            <a:t>60216.09</a:t>
          </a:r>
        </a:p>
      </xdr:txBody>
    </xdr:sp>
    <xdr:clientData/>
  </xdr:oneCellAnchor>
  <xdr:oneCellAnchor>
    <xdr:from>
      <xdr:col>4</xdr:col>
      <xdr:colOff>289561</xdr:colOff>
      <xdr:row>13</xdr:row>
      <xdr:rowOff>0</xdr:rowOff>
    </xdr:from>
    <xdr:ext cx="815340" cy="396240"/>
    <xdr:sp macro="" textlink="">
      <xdr:nvSpPr>
        <xdr:cNvPr id="22" name="TextBox 21"/>
        <xdr:cNvSpPr txBox="1"/>
      </xdr:nvSpPr>
      <xdr:spPr>
        <a:xfrm>
          <a:off x="2727961" y="2377440"/>
          <a:ext cx="81534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a:solidFill>
                <a:schemeClr val="bg1">
                  <a:lumMod val="85000"/>
                </a:schemeClr>
              </a:solidFill>
            </a:rPr>
            <a:t>3.02%</a:t>
          </a:r>
        </a:p>
      </xdr:txBody>
    </xdr:sp>
    <xdr:clientData/>
  </xdr:oneCellAnchor>
  <xdr:twoCellAnchor>
    <xdr:from>
      <xdr:col>8</xdr:col>
      <xdr:colOff>91440</xdr:colOff>
      <xdr:row>5</xdr:row>
      <xdr:rowOff>106680</xdr:rowOff>
    </xdr:from>
    <xdr:to>
      <xdr:col>15</xdr:col>
      <xdr:colOff>365760</xdr:colOff>
      <xdr:row>16</xdr:row>
      <xdr:rowOff>68580</xdr:rowOff>
    </xdr:to>
    <xdr:sp macro="" textlink="">
      <xdr:nvSpPr>
        <xdr:cNvPr id="24" name="Rounded Rectangle 23"/>
        <xdr:cNvSpPr/>
      </xdr:nvSpPr>
      <xdr:spPr>
        <a:xfrm>
          <a:off x="4968240" y="1021080"/>
          <a:ext cx="4526280" cy="1973580"/>
        </a:xfrm>
        <a:prstGeom prst="roundRect">
          <a:avLst>
            <a:gd name="adj" fmla="val 2663"/>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lumMod val="85000"/>
                </a:schemeClr>
              </a:solidFill>
            </a:rPr>
            <a:t>Average</a:t>
          </a:r>
          <a:r>
            <a:rPr lang="en-GB" sz="1400" baseline="0">
              <a:solidFill>
                <a:schemeClr val="bg1">
                  <a:lumMod val="85000"/>
                </a:schemeClr>
              </a:solidFill>
            </a:rPr>
            <a:t> Salary by performance  score</a:t>
          </a:r>
          <a:r>
            <a:rPr lang="en-GB" sz="1400">
              <a:solidFill>
                <a:schemeClr val="bg1">
                  <a:lumMod val="85000"/>
                </a:schemeClr>
              </a:solidFill>
            </a:rPr>
            <a:t> </a:t>
          </a:r>
        </a:p>
      </xdr:txBody>
    </xdr:sp>
    <xdr:clientData/>
  </xdr:twoCellAnchor>
  <xdr:twoCellAnchor>
    <xdr:from>
      <xdr:col>0</xdr:col>
      <xdr:colOff>236220</xdr:colOff>
      <xdr:row>17</xdr:row>
      <xdr:rowOff>38100</xdr:rowOff>
    </xdr:from>
    <xdr:to>
      <xdr:col>8</xdr:col>
      <xdr:colOff>53340</xdr:colOff>
      <xdr:row>28</xdr:row>
      <xdr:rowOff>152400</xdr:rowOff>
    </xdr:to>
    <xdr:sp macro="" textlink="">
      <xdr:nvSpPr>
        <xdr:cNvPr id="26" name="Rounded Rectangle 25"/>
        <xdr:cNvSpPr/>
      </xdr:nvSpPr>
      <xdr:spPr>
        <a:xfrm>
          <a:off x="236220" y="3147060"/>
          <a:ext cx="4693920" cy="2125980"/>
        </a:xfrm>
        <a:prstGeom prst="roundRect">
          <a:avLst>
            <a:gd name="adj" fmla="val 5091"/>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lumMod val="85000"/>
                </a:schemeClr>
              </a:solidFill>
            </a:rPr>
            <a:t>Average Salary</a:t>
          </a:r>
          <a:r>
            <a:rPr lang="en-GB" sz="1400" baseline="0">
              <a:solidFill>
                <a:schemeClr val="bg1">
                  <a:lumMod val="85000"/>
                </a:schemeClr>
              </a:solidFill>
            </a:rPr>
            <a:t> by department</a:t>
          </a:r>
          <a:r>
            <a:rPr lang="en-GB" sz="1400">
              <a:solidFill>
                <a:schemeClr val="bg1">
                  <a:lumMod val="85000"/>
                </a:schemeClr>
              </a:solidFill>
            </a:rPr>
            <a:t> </a:t>
          </a:r>
        </a:p>
      </xdr:txBody>
    </xdr:sp>
    <xdr:clientData/>
  </xdr:twoCellAnchor>
  <xdr:twoCellAnchor>
    <xdr:from>
      <xdr:col>8</xdr:col>
      <xdr:colOff>129540</xdr:colOff>
      <xdr:row>17</xdr:row>
      <xdr:rowOff>38100</xdr:rowOff>
    </xdr:from>
    <xdr:to>
      <xdr:col>15</xdr:col>
      <xdr:colOff>403860</xdr:colOff>
      <xdr:row>28</xdr:row>
      <xdr:rowOff>175260</xdr:rowOff>
    </xdr:to>
    <xdr:sp macro="" textlink="">
      <xdr:nvSpPr>
        <xdr:cNvPr id="28" name="Rounded Rectangle 27"/>
        <xdr:cNvSpPr/>
      </xdr:nvSpPr>
      <xdr:spPr>
        <a:xfrm>
          <a:off x="5006340" y="3147060"/>
          <a:ext cx="4526280" cy="2148840"/>
        </a:xfrm>
        <a:prstGeom prst="roundRect">
          <a:avLst>
            <a:gd name="adj" fmla="val 3300"/>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lumMod val="85000"/>
                </a:schemeClr>
              </a:solidFill>
            </a:rPr>
            <a:t>Performance Disribution </a:t>
          </a:r>
        </a:p>
      </xdr:txBody>
    </xdr:sp>
    <xdr:clientData/>
  </xdr:twoCellAnchor>
  <xdr:twoCellAnchor>
    <xdr:from>
      <xdr:col>15</xdr:col>
      <xdr:colOff>480060</xdr:colOff>
      <xdr:row>17</xdr:row>
      <xdr:rowOff>30480</xdr:rowOff>
    </xdr:from>
    <xdr:to>
      <xdr:col>23</xdr:col>
      <xdr:colOff>91440</xdr:colOff>
      <xdr:row>28</xdr:row>
      <xdr:rowOff>137160</xdr:rowOff>
    </xdr:to>
    <xdr:sp macro="" textlink="">
      <xdr:nvSpPr>
        <xdr:cNvPr id="30" name="Rounded Rectangle 29"/>
        <xdr:cNvSpPr/>
      </xdr:nvSpPr>
      <xdr:spPr>
        <a:xfrm>
          <a:off x="9608820" y="3139440"/>
          <a:ext cx="4488180" cy="2118360"/>
        </a:xfrm>
        <a:prstGeom prst="roundRect">
          <a:avLst>
            <a:gd name="adj" fmla="val 3142"/>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lumMod val="85000"/>
                </a:schemeClr>
              </a:solidFill>
            </a:rPr>
            <a:t>Age</a:t>
          </a:r>
          <a:r>
            <a:rPr lang="en-GB" sz="1400" baseline="0">
              <a:solidFill>
                <a:schemeClr val="bg1">
                  <a:lumMod val="85000"/>
                </a:schemeClr>
              </a:solidFill>
            </a:rPr>
            <a:t> distribution </a:t>
          </a:r>
          <a:r>
            <a:rPr lang="en-GB" sz="1400">
              <a:solidFill>
                <a:schemeClr val="bg1">
                  <a:lumMod val="85000"/>
                </a:schemeClr>
              </a:solidFill>
            </a:rPr>
            <a:t> </a:t>
          </a:r>
        </a:p>
      </xdr:txBody>
    </xdr:sp>
    <xdr:clientData/>
  </xdr:twoCellAnchor>
  <xdr:twoCellAnchor>
    <xdr:from>
      <xdr:col>15</xdr:col>
      <xdr:colOff>434340</xdr:colOff>
      <xdr:row>5</xdr:row>
      <xdr:rowOff>106680</xdr:rowOff>
    </xdr:from>
    <xdr:to>
      <xdr:col>23</xdr:col>
      <xdr:colOff>99060</xdr:colOff>
      <xdr:row>16</xdr:row>
      <xdr:rowOff>68580</xdr:rowOff>
    </xdr:to>
    <xdr:sp macro="" textlink="">
      <xdr:nvSpPr>
        <xdr:cNvPr id="32" name="Rounded Rectangle 31"/>
        <xdr:cNvSpPr/>
      </xdr:nvSpPr>
      <xdr:spPr>
        <a:xfrm>
          <a:off x="9563100" y="1021080"/>
          <a:ext cx="4541520" cy="1973580"/>
        </a:xfrm>
        <a:prstGeom prst="roundRect">
          <a:avLst>
            <a:gd name="adj" fmla="val 3052"/>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lumMod val="85000"/>
                </a:schemeClr>
              </a:solidFill>
            </a:rPr>
            <a:t>Average Performance Score </a:t>
          </a:r>
        </a:p>
      </xdr:txBody>
    </xdr:sp>
    <xdr:clientData/>
  </xdr:twoCellAnchor>
  <xdr:twoCellAnchor>
    <xdr:from>
      <xdr:col>6</xdr:col>
      <xdr:colOff>0</xdr:colOff>
      <xdr:row>6</xdr:row>
      <xdr:rowOff>83820</xdr:rowOff>
    </xdr:from>
    <xdr:to>
      <xdr:col>7</xdr:col>
      <xdr:colOff>601980</xdr:colOff>
      <xdr:row>10</xdr:row>
      <xdr:rowOff>99060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396240</xdr:colOff>
      <xdr:row>13</xdr:row>
      <xdr:rowOff>15240</xdr:rowOff>
    </xdr:from>
    <xdr:to>
      <xdr:col>7</xdr:col>
      <xdr:colOff>533400</xdr:colOff>
      <xdr:row>16</xdr:row>
      <xdr:rowOff>38100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xdr:colOff>
      <xdr:row>7</xdr:row>
      <xdr:rowOff>144780</xdr:rowOff>
    </xdr:from>
    <xdr:to>
      <xdr:col>8</xdr:col>
      <xdr:colOff>83820</xdr:colOff>
      <xdr:row>10</xdr:row>
      <xdr:rowOff>144780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xdr:colOff>
      <xdr:row>7</xdr:row>
      <xdr:rowOff>160020</xdr:rowOff>
    </xdr:from>
    <xdr:to>
      <xdr:col>4</xdr:col>
      <xdr:colOff>60960</xdr:colOff>
      <xdr:row>10</xdr:row>
      <xdr:rowOff>129540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396240</xdr:colOff>
      <xdr:row>2</xdr:row>
      <xdr:rowOff>152400</xdr:rowOff>
    </xdr:from>
    <xdr:to>
      <xdr:col>2</xdr:col>
      <xdr:colOff>571500</xdr:colOff>
      <xdr:row>4</xdr:row>
      <xdr:rowOff>175260</xdr:rowOff>
    </xdr:to>
    <xdr:sp macro="" textlink="">
      <xdr:nvSpPr>
        <xdr:cNvPr id="38" name="Rectangle 37"/>
        <xdr:cNvSpPr/>
      </xdr:nvSpPr>
      <xdr:spPr>
        <a:xfrm>
          <a:off x="396240" y="518160"/>
          <a:ext cx="1394460" cy="388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281940</xdr:colOff>
      <xdr:row>9</xdr:row>
      <xdr:rowOff>0</xdr:rowOff>
    </xdr:from>
    <xdr:to>
      <xdr:col>1</xdr:col>
      <xdr:colOff>495300</xdr:colOff>
      <xdr:row>10</xdr:row>
      <xdr:rowOff>121920</xdr:rowOff>
    </xdr:to>
    <xdr:sp macro="" textlink="">
      <xdr:nvSpPr>
        <xdr:cNvPr id="39" name="Rectangle 38"/>
        <xdr:cNvSpPr/>
      </xdr:nvSpPr>
      <xdr:spPr>
        <a:xfrm>
          <a:off x="281940" y="1645920"/>
          <a:ext cx="82296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00B050"/>
              </a:solidFill>
              <a:latin typeface="Segoe UI Symbol" panose="020B0502040204020203" pitchFamily="34" charset="0"/>
              <a:ea typeface="Segoe UI Symbol" panose="020B0502040204020203" pitchFamily="34" charset="0"/>
            </a:rPr>
            <a:t>⏶</a:t>
          </a:r>
          <a:r>
            <a:rPr lang="en-GB" sz="1100">
              <a:solidFill>
                <a:schemeClr val="bg1">
                  <a:lumMod val="85000"/>
                </a:schemeClr>
              </a:solidFill>
            </a:rPr>
            <a:t>11.4%</a:t>
          </a:r>
          <a:r>
            <a:rPr lang="en-GB" sz="1100" baseline="0">
              <a:solidFill>
                <a:schemeClr val="bg1">
                  <a:lumMod val="85000"/>
                </a:schemeClr>
              </a:solidFill>
            </a:rPr>
            <a:t> </a:t>
          </a:r>
          <a:endParaRPr lang="en-GB" sz="1100">
            <a:solidFill>
              <a:schemeClr val="bg1">
                <a:lumMod val="85000"/>
              </a:schemeClr>
            </a:solidFill>
          </a:endParaRPr>
        </a:p>
      </xdr:txBody>
    </xdr:sp>
    <xdr:clientData/>
  </xdr:twoCellAnchor>
  <xdr:twoCellAnchor>
    <xdr:from>
      <xdr:col>4</xdr:col>
      <xdr:colOff>198120</xdr:colOff>
      <xdr:row>9</xdr:row>
      <xdr:rowOff>22860</xdr:rowOff>
    </xdr:from>
    <xdr:to>
      <xdr:col>5</xdr:col>
      <xdr:colOff>541020</xdr:colOff>
      <xdr:row>10</xdr:row>
      <xdr:rowOff>114300</xdr:rowOff>
    </xdr:to>
    <xdr:sp macro="" textlink="">
      <xdr:nvSpPr>
        <xdr:cNvPr id="40" name="Rectangle 39"/>
        <xdr:cNvSpPr/>
      </xdr:nvSpPr>
      <xdr:spPr>
        <a:xfrm>
          <a:off x="2636520" y="1668780"/>
          <a:ext cx="952500" cy="2743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FF0000"/>
              </a:solidFill>
              <a:latin typeface="Segoe UI Symbol" panose="020B0502040204020203" pitchFamily="34" charset="0"/>
              <a:ea typeface="Segoe UI Symbol" panose="020B0502040204020203" pitchFamily="34" charset="0"/>
            </a:rPr>
            <a:t>⏷</a:t>
          </a:r>
          <a:r>
            <a:rPr lang="en-GB" sz="1100">
              <a:solidFill>
                <a:schemeClr val="bg1">
                  <a:lumMod val="85000"/>
                </a:schemeClr>
              </a:solidFill>
            </a:rPr>
            <a:t>1.0%</a:t>
          </a:r>
        </a:p>
      </xdr:txBody>
    </xdr:sp>
    <xdr:clientData/>
  </xdr:twoCellAnchor>
  <xdr:twoCellAnchor>
    <xdr:from>
      <xdr:col>0</xdr:col>
      <xdr:colOff>274320</xdr:colOff>
      <xdr:row>19</xdr:row>
      <xdr:rowOff>22860</xdr:rowOff>
    </xdr:from>
    <xdr:to>
      <xdr:col>7</xdr:col>
      <xdr:colOff>548640</xdr:colOff>
      <xdr:row>28</xdr:row>
      <xdr:rowOff>121920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182880</xdr:colOff>
      <xdr:row>6</xdr:row>
      <xdr:rowOff>160020</xdr:rowOff>
    </xdr:from>
    <xdr:to>
      <xdr:col>15</xdr:col>
      <xdr:colOff>236220</xdr:colOff>
      <xdr:row>15</xdr:row>
      <xdr:rowOff>167640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160020</xdr:colOff>
      <xdr:row>18</xdr:row>
      <xdr:rowOff>167640</xdr:rowOff>
    </xdr:from>
    <xdr:to>
      <xdr:col>15</xdr:col>
      <xdr:colOff>373380</xdr:colOff>
      <xdr:row>28</xdr:row>
      <xdr:rowOff>152400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502920</xdr:colOff>
      <xdr:row>18</xdr:row>
      <xdr:rowOff>53340</xdr:rowOff>
    </xdr:from>
    <xdr:to>
      <xdr:col>22</xdr:col>
      <xdr:colOff>579120</xdr:colOff>
      <xdr:row>28</xdr:row>
      <xdr:rowOff>121920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487680</xdr:colOff>
      <xdr:row>7</xdr:row>
      <xdr:rowOff>38100</xdr:rowOff>
    </xdr:from>
    <xdr:to>
      <xdr:col>23</xdr:col>
      <xdr:colOff>30480</xdr:colOff>
      <xdr:row>15</xdr:row>
      <xdr:rowOff>167640</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251461</xdr:colOff>
      <xdr:row>0</xdr:row>
      <xdr:rowOff>106680</xdr:rowOff>
    </xdr:from>
    <xdr:to>
      <xdr:col>10</xdr:col>
      <xdr:colOff>320040</xdr:colOff>
      <xdr:row>2</xdr:row>
      <xdr:rowOff>91440</xdr:rowOff>
    </xdr:to>
    <xdr:pic>
      <xdr:nvPicPr>
        <xdr:cNvPr id="50" name="Picture 49"/>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737861" y="106680"/>
          <a:ext cx="678179" cy="35052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236220</xdr:colOff>
      <xdr:row>2</xdr:row>
      <xdr:rowOff>106680</xdr:rowOff>
    </xdr:from>
    <xdr:to>
      <xdr:col>1</xdr:col>
      <xdr:colOff>396240</xdr:colOff>
      <xdr:row>4</xdr:row>
      <xdr:rowOff>144780</xdr:rowOff>
    </xdr:to>
    <xdr:pic>
      <xdr:nvPicPr>
        <xdr:cNvPr id="51" name="Picture 50"/>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6220" y="472440"/>
          <a:ext cx="769620" cy="40386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11</xdr:col>
      <xdr:colOff>38100</xdr:colOff>
      <xdr:row>0</xdr:row>
      <xdr:rowOff>137160</xdr:rowOff>
    </xdr:from>
    <xdr:to>
      <xdr:col>12</xdr:col>
      <xdr:colOff>137160</xdr:colOff>
      <xdr:row>2</xdr:row>
      <xdr:rowOff>68580</xdr:rowOff>
    </xdr:to>
    <xdr:pic>
      <xdr:nvPicPr>
        <xdr:cNvPr id="54" name="Picture 53"/>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743700" y="137160"/>
          <a:ext cx="693420" cy="297180"/>
        </a:xfrm>
        <a:prstGeom prst="roundRect">
          <a:avLst>
            <a:gd name="adj" fmla="val 4167"/>
          </a:avLst>
        </a:prstGeom>
        <a:solidFill>
          <a:srgbClr val="FFFFFF"/>
        </a:solidFill>
        <a:ln w="76200" cap="sq">
          <a:solidFill>
            <a:srgbClr val="292929"/>
          </a:solidFill>
          <a:miter lim="800000"/>
        </a:ln>
        <a:effectLst>
          <a:reflection blurRad="12700" stA="28000" endPos="28000" dist="5000" dir="5400000" sy="-100000" algn="bl" rotWithShape="0"/>
        </a:effectLst>
        <a:scene3d>
          <a:camera prst="orthographicFront"/>
          <a:lightRig rig="threePt" dir="t">
            <a:rot lat="0" lon="0" rev="2700000"/>
          </a:lightRig>
        </a:scene3d>
        <a:sp3d>
          <a:bevelT h="38100"/>
          <a:contourClr>
            <a:srgbClr val="C0C0C0"/>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87.931161342596" createdVersion="6" refreshedVersion="6" minRefreshableVersion="3" recordCount="1000">
  <cacheSource type="worksheet">
    <worksheetSource ref="A1:L1001" sheet="messy_HR_data_Cleaned"/>
  </cacheSource>
  <cacheFields count="12">
    <cacheField name="Name" numFmtId="0">
      <sharedItems count="10">
        <s v=" Grace "/>
        <s v=" David "/>
        <s v=" Hannah "/>
        <s v=" Eve "/>
        <s v=" Jack "/>
        <s v=" Charlie "/>
        <s v=" Frank "/>
        <s v=" Bob "/>
        <s v=" Alice "/>
        <s v=" Ivy "/>
      </sharedItems>
    </cacheField>
    <cacheField name="Age" numFmtId="0">
      <sharedItems containsMixedTypes="1" containsNumber="1" containsInteger="1" minValue="25" maxValue="50" count="6">
        <n v="25"/>
        <s v=" "/>
        <n v="35"/>
        <n v="40"/>
        <n v="30"/>
        <n v="50"/>
      </sharedItems>
    </cacheField>
    <cacheField name="Salary" numFmtId="0">
      <sharedItems containsMixedTypes="1" containsNumber="1" containsInteger="1" minValue="50000" maxValue="70000" count="6">
        <n v="50000"/>
        <n v="65000"/>
        <n v="60000"/>
        <s v=" "/>
        <n v="70000"/>
        <n v="55000"/>
      </sharedItems>
    </cacheField>
    <cacheField name="Gender" numFmtId="0">
      <sharedItems count="3">
        <s v="Male"/>
        <s v="Female"/>
        <s v="Other"/>
      </sharedItems>
    </cacheField>
    <cacheField name="Department" numFmtId="0">
      <sharedItems count="5">
        <s v="HR"/>
        <s v="Finance"/>
        <s v="Sales"/>
        <s v="IT"/>
        <s v="Marketing"/>
      </sharedItems>
    </cacheField>
    <cacheField name="Position" numFmtId="0">
      <sharedItems count="5">
        <s v="Manager"/>
        <s v="Director"/>
        <s v="Clerk"/>
        <s v="Assistant"/>
        <s v="Analyst"/>
      </sharedItems>
    </cacheField>
    <cacheField name="Year " numFmtId="0">
      <sharedItems containsSemiMixedTypes="0" containsString="0" containsNumber="1" containsInteger="1" minValue="2018" maxValue="2020" count="3">
        <n v="2018"/>
        <n v="2020"/>
        <n v="2019"/>
      </sharedItems>
    </cacheField>
    <cacheField name="Joining Date" numFmtId="14">
      <sharedItems containsSemiMixedTypes="0" containsNonDate="0" containsDate="1" containsString="0" minDate="2018-04-05T00:00:00" maxDate="2020-02-21T00:00:00"/>
    </cacheField>
    <cacheField name="Month " numFmtId="0">
      <sharedItems count="5">
        <s v="April"/>
        <s v="February"/>
        <s v="January"/>
        <s v="March"/>
        <s v="December"/>
      </sharedItems>
    </cacheField>
    <cacheField name="Performance Score" numFmtId="0">
      <sharedItems count="5">
        <s v="D"/>
        <s v="F"/>
        <s v="C"/>
        <s v="A"/>
        <s v="B"/>
      </sharedItems>
    </cacheField>
    <cacheField name="Performance  _Score_Range" numFmtId="0">
      <sharedItems containsSemiMixedTypes="0" containsString="0" containsNumber="1" containsInteger="1" minValue="1" maxValue="5" count="5">
        <n v="2"/>
        <n v="1"/>
        <n v="3"/>
        <n v="5"/>
        <n v="4"/>
      </sharedItems>
    </cacheField>
    <cacheField name="Salary Performance " numFmtId="0">
      <sharedItems count="2">
        <s v="Aligned"/>
        <s v="Misaligne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d v="2018-04-05T00:00:00"/>
    <x v="0"/>
    <x v="0"/>
    <x v="0"/>
    <x v="0"/>
  </r>
  <r>
    <x v="1"/>
    <x v="1"/>
    <x v="1"/>
    <x v="1"/>
    <x v="1"/>
    <x v="1"/>
    <x v="1"/>
    <d v="2020-02-20T00:00:00"/>
    <x v="1"/>
    <x v="1"/>
    <x v="1"/>
    <x v="1"/>
  </r>
  <r>
    <x v="2"/>
    <x v="2"/>
    <x v="2"/>
    <x v="1"/>
    <x v="2"/>
    <x v="1"/>
    <x v="1"/>
    <d v="2020-01-15T00:00:00"/>
    <x v="2"/>
    <x v="2"/>
    <x v="2"/>
    <x v="0"/>
  </r>
  <r>
    <x v="3"/>
    <x v="1"/>
    <x v="0"/>
    <x v="1"/>
    <x v="3"/>
    <x v="0"/>
    <x v="0"/>
    <d v="2018-04-05T00:00:00"/>
    <x v="0"/>
    <x v="3"/>
    <x v="3"/>
    <x v="0"/>
  </r>
  <r>
    <x v="0"/>
    <x v="1"/>
    <x v="3"/>
    <x v="1"/>
    <x v="1"/>
    <x v="0"/>
    <x v="1"/>
    <d v="2020-01-15T00:00:00"/>
    <x v="2"/>
    <x v="1"/>
    <x v="1"/>
    <x v="0"/>
  </r>
  <r>
    <x v="4"/>
    <x v="1"/>
    <x v="1"/>
    <x v="2"/>
    <x v="4"/>
    <x v="1"/>
    <x v="2"/>
    <d v="2019-03-25T00:00:00"/>
    <x v="3"/>
    <x v="1"/>
    <x v="1"/>
    <x v="1"/>
  </r>
  <r>
    <x v="5"/>
    <x v="1"/>
    <x v="0"/>
    <x v="0"/>
    <x v="4"/>
    <x v="2"/>
    <x v="2"/>
    <d v="2019-12-01T00:00:00"/>
    <x v="4"/>
    <x v="4"/>
    <x v="4"/>
    <x v="0"/>
  </r>
  <r>
    <x v="0"/>
    <x v="3"/>
    <x v="0"/>
    <x v="2"/>
    <x v="0"/>
    <x v="1"/>
    <x v="2"/>
    <d v="2019-03-25T00:00:00"/>
    <x v="3"/>
    <x v="2"/>
    <x v="2"/>
    <x v="0"/>
  </r>
  <r>
    <x v="2"/>
    <x v="3"/>
    <x v="2"/>
    <x v="1"/>
    <x v="4"/>
    <x v="0"/>
    <x v="1"/>
    <d v="2020-01-15T00:00:00"/>
    <x v="2"/>
    <x v="2"/>
    <x v="2"/>
    <x v="0"/>
  </r>
  <r>
    <x v="3"/>
    <x v="4"/>
    <x v="3"/>
    <x v="2"/>
    <x v="1"/>
    <x v="3"/>
    <x v="1"/>
    <d v="2020-02-20T00:00:00"/>
    <x v="1"/>
    <x v="3"/>
    <x v="3"/>
    <x v="0"/>
  </r>
  <r>
    <x v="1"/>
    <x v="0"/>
    <x v="4"/>
    <x v="0"/>
    <x v="4"/>
    <x v="4"/>
    <x v="2"/>
    <d v="2019-12-01T00:00:00"/>
    <x v="4"/>
    <x v="4"/>
    <x v="4"/>
    <x v="0"/>
  </r>
  <r>
    <x v="2"/>
    <x v="1"/>
    <x v="4"/>
    <x v="2"/>
    <x v="1"/>
    <x v="3"/>
    <x v="2"/>
    <d v="2019-03-25T00:00:00"/>
    <x v="3"/>
    <x v="3"/>
    <x v="3"/>
    <x v="0"/>
  </r>
  <r>
    <x v="2"/>
    <x v="4"/>
    <x v="0"/>
    <x v="0"/>
    <x v="3"/>
    <x v="3"/>
    <x v="0"/>
    <d v="2018-04-05T00:00:00"/>
    <x v="0"/>
    <x v="0"/>
    <x v="0"/>
    <x v="0"/>
  </r>
  <r>
    <x v="5"/>
    <x v="0"/>
    <x v="5"/>
    <x v="2"/>
    <x v="0"/>
    <x v="0"/>
    <x v="1"/>
    <d v="2020-02-20T00:00:00"/>
    <x v="1"/>
    <x v="1"/>
    <x v="1"/>
    <x v="0"/>
  </r>
  <r>
    <x v="6"/>
    <x v="5"/>
    <x v="3"/>
    <x v="0"/>
    <x v="4"/>
    <x v="1"/>
    <x v="2"/>
    <d v="2019-03-25T00:00:00"/>
    <x v="3"/>
    <x v="3"/>
    <x v="3"/>
    <x v="0"/>
  </r>
  <r>
    <x v="3"/>
    <x v="2"/>
    <x v="1"/>
    <x v="0"/>
    <x v="1"/>
    <x v="2"/>
    <x v="0"/>
    <d v="2018-04-05T00:00:00"/>
    <x v="0"/>
    <x v="1"/>
    <x v="1"/>
    <x v="1"/>
  </r>
  <r>
    <x v="7"/>
    <x v="3"/>
    <x v="5"/>
    <x v="1"/>
    <x v="2"/>
    <x v="3"/>
    <x v="1"/>
    <d v="2020-01-15T00:00:00"/>
    <x v="2"/>
    <x v="4"/>
    <x v="4"/>
    <x v="0"/>
  </r>
  <r>
    <x v="2"/>
    <x v="5"/>
    <x v="5"/>
    <x v="0"/>
    <x v="0"/>
    <x v="1"/>
    <x v="0"/>
    <d v="2018-04-05T00:00:00"/>
    <x v="0"/>
    <x v="0"/>
    <x v="0"/>
    <x v="0"/>
  </r>
  <r>
    <x v="6"/>
    <x v="0"/>
    <x v="3"/>
    <x v="1"/>
    <x v="3"/>
    <x v="2"/>
    <x v="2"/>
    <d v="2019-03-25T00:00:00"/>
    <x v="3"/>
    <x v="4"/>
    <x v="4"/>
    <x v="0"/>
  </r>
  <r>
    <x v="7"/>
    <x v="5"/>
    <x v="0"/>
    <x v="1"/>
    <x v="1"/>
    <x v="3"/>
    <x v="2"/>
    <d v="2019-03-25T00:00:00"/>
    <x v="3"/>
    <x v="3"/>
    <x v="0"/>
    <x v="1"/>
  </r>
  <r>
    <x v="3"/>
    <x v="2"/>
    <x v="0"/>
    <x v="1"/>
    <x v="3"/>
    <x v="2"/>
    <x v="1"/>
    <d v="2020-01-15T00:00:00"/>
    <x v="2"/>
    <x v="0"/>
    <x v="0"/>
    <x v="1"/>
  </r>
  <r>
    <x v="8"/>
    <x v="0"/>
    <x v="0"/>
    <x v="2"/>
    <x v="3"/>
    <x v="1"/>
    <x v="0"/>
    <d v="2018-04-05T00:00:00"/>
    <x v="0"/>
    <x v="1"/>
    <x v="1"/>
    <x v="0"/>
  </r>
  <r>
    <x v="4"/>
    <x v="5"/>
    <x v="0"/>
    <x v="2"/>
    <x v="4"/>
    <x v="4"/>
    <x v="0"/>
    <d v="2018-04-05T00:00:00"/>
    <x v="0"/>
    <x v="4"/>
    <x v="4"/>
    <x v="0"/>
  </r>
  <r>
    <x v="6"/>
    <x v="3"/>
    <x v="4"/>
    <x v="2"/>
    <x v="4"/>
    <x v="1"/>
    <x v="1"/>
    <d v="2020-01-15T00:00:00"/>
    <x v="2"/>
    <x v="4"/>
    <x v="4"/>
    <x v="0"/>
  </r>
  <r>
    <x v="9"/>
    <x v="3"/>
    <x v="0"/>
    <x v="2"/>
    <x v="1"/>
    <x v="0"/>
    <x v="0"/>
    <d v="2018-04-05T00:00:00"/>
    <x v="0"/>
    <x v="3"/>
    <x v="3"/>
    <x v="0"/>
  </r>
  <r>
    <x v="8"/>
    <x v="4"/>
    <x v="4"/>
    <x v="0"/>
    <x v="2"/>
    <x v="2"/>
    <x v="1"/>
    <d v="2020-01-15T00:00:00"/>
    <x v="2"/>
    <x v="4"/>
    <x v="4"/>
    <x v="0"/>
  </r>
  <r>
    <x v="4"/>
    <x v="5"/>
    <x v="4"/>
    <x v="0"/>
    <x v="1"/>
    <x v="4"/>
    <x v="1"/>
    <d v="2020-02-20T00:00:00"/>
    <x v="1"/>
    <x v="3"/>
    <x v="3"/>
    <x v="0"/>
  </r>
  <r>
    <x v="5"/>
    <x v="1"/>
    <x v="0"/>
    <x v="2"/>
    <x v="2"/>
    <x v="2"/>
    <x v="2"/>
    <d v="2019-03-25T00:00:00"/>
    <x v="3"/>
    <x v="2"/>
    <x v="2"/>
    <x v="0"/>
  </r>
  <r>
    <x v="0"/>
    <x v="5"/>
    <x v="2"/>
    <x v="0"/>
    <x v="3"/>
    <x v="2"/>
    <x v="1"/>
    <d v="2020-02-20T00:00:00"/>
    <x v="1"/>
    <x v="2"/>
    <x v="2"/>
    <x v="0"/>
  </r>
  <r>
    <x v="1"/>
    <x v="0"/>
    <x v="1"/>
    <x v="0"/>
    <x v="0"/>
    <x v="3"/>
    <x v="2"/>
    <d v="2019-12-01T00:00:00"/>
    <x v="4"/>
    <x v="2"/>
    <x v="2"/>
    <x v="0"/>
  </r>
  <r>
    <x v="9"/>
    <x v="0"/>
    <x v="5"/>
    <x v="1"/>
    <x v="1"/>
    <x v="0"/>
    <x v="2"/>
    <d v="2019-12-01T00:00:00"/>
    <x v="4"/>
    <x v="4"/>
    <x v="4"/>
    <x v="0"/>
  </r>
  <r>
    <x v="5"/>
    <x v="5"/>
    <x v="4"/>
    <x v="1"/>
    <x v="1"/>
    <x v="2"/>
    <x v="2"/>
    <d v="2019-12-01T00:00:00"/>
    <x v="4"/>
    <x v="4"/>
    <x v="4"/>
    <x v="0"/>
  </r>
  <r>
    <x v="3"/>
    <x v="2"/>
    <x v="3"/>
    <x v="1"/>
    <x v="2"/>
    <x v="1"/>
    <x v="1"/>
    <d v="2020-01-15T00:00:00"/>
    <x v="2"/>
    <x v="3"/>
    <x v="3"/>
    <x v="0"/>
  </r>
  <r>
    <x v="5"/>
    <x v="3"/>
    <x v="3"/>
    <x v="1"/>
    <x v="3"/>
    <x v="1"/>
    <x v="0"/>
    <d v="2018-04-05T00:00:00"/>
    <x v="0"/>
    <x v="0"/>
    <x v="0"/>
    <x v="1"/>
  </r>
  <r>
    <x v="0"/>
    <x v="0"/>
    <x v="1"/>
    <x v="0"/>
    <x v="3"/>
    <x v="3"/>
    <x v="1"/>
    <d v="2020-02-20T00:00:00"/>
    <x v="1"/>
    <x v="3"/>
    <x v="3"/>
    <x v="0"/>
  </r>
  <r>
    <x v="3"/>
    <x v="3"/>
    <x v="3"/>
    <x v="2"/>
    <x v="2"/>
    <x v="0"/>
    <x v="1"/>
    <d v="2020-02-20T00:00:00"/>
    <x v="1"/>
    <x v="2"/>
    <x v="2"/>
    <x v="0"/>
  </r>
  <r>
    <x v="9"/>
    <x v="0"/>
    <x v="2"/>
    <x v="0"/>
    <x v="3"/>
    <x v="0"/>
    <x v="1"/>
    <d v="2020-02-20T00:00:00"/>
    <x v="1"/>
    <x v="3"/>
    <x v="3"/>
    <x v="0"/>
  </r>
  <r>
    <x v="0"/>
    <x v="4"/>
    <x v="3"/>
    <x v="0"/>
    <x v="4"/>
    <x v="1"/>
    <x v="1"/>
    <d v="2020-02-20T00:00:00"/>
    <x v="1"/>
    <x v="0"/>
    <x v="0"/>
    <x v="1"/>
  </r>
  <r>
    <x v="7"/>
    <x v="1"/>
    <x v="5"/>
    <x v="0"/>
    <x v="0"/>
    <x v="4"/>
    <x v="2"/>
    <d v="2019-12-01T00:00:00"/>
    <x v="4"/>
    <x v="4"/>
    <x v="4"/>
    <x v="0"/>
  </r>
  <r>
    <x v="1"/>
    <x v="0"/>
    <x v="5"/>
    <x v="1"/>
    <x v="1"/>
    <x v="3"/>
    <x v="1"/>
    <d v="2020-02-20T00:00:00"/>
    <x v="1"/>
    <x v="3"/>
    <x v="3"/>
    <x v="0"/>
  </r>
  <r>
    <x v="9"/>
    <x v="3"/>
    <x v="4"/>
    <x v="1"/>
    <x v="0"/>
    <x v="3"/>
    <x v="0"/>
    <d v="2018-04-05T00:00:00"/>
    <x v="0"/>
    <x v="2"/>
    <x v="2"/>
    <x v="0"/>
  </r>
  <r>
    <x v="7"/>
    <x v="4"/>
    <x v="0"/>
    <x v="1"/>
    <x v="1"/>
    <x v="1"/>
    <x v="2"/>
    <d v="2019-12-01T00:00:00"/>
    <x v="4"/>
    <x v="2"/>
    <x v="2"/>
    <x v="0"/>
  </r>
  <r>
    <x v="4"/>
    <x v="0"/>
    <x v="2"/>
    <x v="2"/>
    <x v="4"/>
    <x v="1"/>
    <x v="1"/>
    <d v="2020-02-20T00:00:00"/>
    <x v="1"/>
    <x v="4"/>
    <x v="4"/>
    <x v="0"/>
  </r>
  <r>
    <x v="9"/>
    <x v="2"/>
    <x v="4"/>
    <x v="0"/>
    <x v="3"/>
    <x v="4"/>
    <x v="1"/>
    <d v="2020-01-15T00:00:00"/>
    <x v="2"/>
    <x v="3"/>
    <x v="3"/>
    <x v="0"/>
  </r>
  <r>
    <x v="4"/>
    <x v="1"/>
    <x v="2"/>
    <x v="2"/>
    <x v="2"/>
    <x v="4"/>
    <x v="2"/>
    <d v="2019-03-25T00:00:00"/>
    <x v="3"/>
    <x v="0"/>
    <x v="0"/>
    <x v="1"/>
  </r>
  <r>
    <x v="3"/>
    <x v="0"/>
    <x v="0"/>
    <x v="1"/>
    <x v="4"/>
    <x v="0"/>
    <x v="2"/>
    <d v="2019-03-25T00:00:00"/>
    <x v="3"/>
    <x v="4"/>
    <x v="4"/>
    <x v="0"/>
  </r>
  <r>
    <x v="7"/>
    <x v="4"/>
    <x v="3"/>
    <x v="2"/>
    <x v="0"/>
    <x v="3"/>
    <x v="2"/>
    <d v="2019-03-25T00:00:00"/>
    <x v="3"/>
    <x v="3"/>
    <x v="3"/>
    <x v="0"/>
  </r>
  <r>
    <x v="1"/>
    <x v="2"/>
    <x v="3"/>
    <x v="0"/>
    <x v="2"/>
    <x v="3"/>
    <x v="2"/>
    <d v="2019-12-01T00:00:00"/>
    <x v="4"/>
    <x v="1"/>
    <x v="1"/>
    <x v="1"/>
  </r>
  <r>
    <x v="0"/>
    <x v="5"/>
    <x v="0"/>
    <x v="0"/>
    <x v="3"/>
    <x v="1"/>
    <x v="1"/>
    <d v="2020-02-20T00:00:00"/>
    <x v="1"/>
    <x v="2"/>
    <x v="2"/>
    <x v="0"/>
  </r>
  <r>
    <x v="2"/>
    <x v="4"/>
    <x v="4"/>
    <x v="1"/>
    <x v="4"/>
    <x v="0"/>
    <x v="2"/>
    <d v="2019-12-01T00:00:00"/>
    <x v="4"/>
    <x v="0"/>
    <x v="0"/>
    <x v="1"/>
  </r>
  <r>
    <x v="5"/>
    <x v="4"/>
    <x v="0"/>
    <x v="1"/>
    <x v="2"/>
    <x v="3"/>
    <x v="0"/>
    <d v="2018-04-05T00:00:00"/>
    <x v="0"/>
    <x v="0"/>
    <x v="0"/>
    <x v="1"/>
  </r>
  <r>
    <x v="8"/>
    <x v="2"/>
    <x v="1"/>
    <x v="2"/>
    <x v="4"/>
    <x v="0"/>
    <x v="1"/>
    <d v="2020-01-15T00:00:00"/>
    <x v="2"/>
    <x v="0"/>
    <x v="0"/>
    <x v="1"/>
  </r>
  <r>
    <x v="1"/>
    <x v="4"/>
    <x v="5"/>
    <x v="1"/>
    <x v="4"/>
    <x v="0"/>
    <x v="1"/>
    <d v="2020-01-15T00:00:00"/>
    <x v="2"/>
    <x v="2"/>
    <x v="2"/>
    <x v="0"/>
  </r>
  <r>
    <x v="7"/>
    <x v="2"/>
    <x v="4"/>
    <x v="1"/>
    <x v="3"/>
    <x v="1"/>
    <x v="2"/>
    <d v="2019-03-25T00:00:00"/>
    <x v="3"/>
    <x v="3"/>
    <x v="3"/>
    <x v="0"/>
  </r>
  <r>
    <x v="2"/>
    <x v="0"/>
    <x v="2"/>
    <x v="0"/>
    <x v="1"/>
    <x v="0"/>
    <x v="2"/>
    <d v="2019-03-25T00:00:00"/>
    <x v="3"/>
    <x v="4"/>
    <x v="4"/>
    <x v="0"/>
  </r>
  <r>
    <x v="1"/>
    <x v="2"/>
    <x v="1"/>
    <x v="1"/>
    <x v="2"/>
    <x v="4"/>
    <x v="2"/>
    <d v="2019-03-25T00:00:00"/>
    <x v="3"/>
    <x v="3"/>
    <x v="3"/>
    <x v="0"/>
  </r>
  <r>
    <x v="7"/>
    <x v="2"/>
    <x v="4"/>
    <x v="1"/>
    <x v="3"/>
    <x v="4"/>
    <x v="1"/>
    <d v="2020-02-20T00:00:00"/>
    <x v="1"/>
    <x v="4"/>
    <x v="4"/>
    <x v="0"/>
  </r>
  <r>
    <x v="6"/>
    <x v="1"/>
    <x v="0"/>
    <x v="0"/>
    <x v="4"/>
    <x v="2"/>
    <x v="0"/>
    <d v="2018-04-05T00:00:00"/>
    <x v="0"/>
    <x v="0"/>
    <x v="0"/>
    <x v="1"/>
  </r>
  <r>
    <x v="6"/>
    <x v="2"/>
    <x v="0"/>
    <x v="0"/>
    <x v="3"/>
    <x v="1"/>
    <x v="0"/>
    <d v="2018-04-05T00:00:00"/>
    <x v="0"/>
    <x v="3"/>
    <x v="3"/>
    <x v="0"/>
  </r>
  <r>
    <x v="4"/>
    <x v="2"/>
    <x v="0"/>
    <x v="2"/>
    <x v="1"/>
    <x v="2"/>
    <x v="0"/>
    <d v="2018-04-05T00:00:00"/>
    <x v="0"/>
    <x v="0"/>
    <x v="0"/>
    <x v="1"/>
  </r>
  <r>
    <x v="1"/>
    <x v="5"/>
    <x v="0"/>
    <x v="1"/>
    <x v="2"/>
    <x v="4"/>
    <x v="0"/>
    <d v="2018-04-05T00:00:00"/>
    <x v="0"/>
    <x v="1"/>
    <x v="1"/>
    <x v="1"/>
  </r>
  <r>
    <x v="6"/>
    <x v="0"/>
    <x v="2"/>
    <x v="0"/>
    <x v="1"/>
    <x v="2"/>
    <x v="2"/>
    <d v="2019-03-25T00:00:00"/>
    <x v="3"/>
    <x v="0"/>
    <x v="0"/>
    <x v="1"/>
  </r>
  <r>
    <x v="7"/>
    <x v="1"/>
    <x v="1"/>
    <x v="2"/>
    <x v="0"/>
    <x v="1"/>
    <x v="1"/>
    <d v="2020-01-15T00:00:00"/>
    <x v="2"/>
    <x v="0"/>
    <x v="0"/>
    <x v="1"/>
  </r>
  <r>
    <x v="4"/>
    <x v="5"/>
    <x v="3"/>
    <x v="2"/>
    <x v="2"/>
    <x v="1"/>
    <x v="2"/>
    <d v="2019-03-25T00:00:00"/>
    <x v="3"/>
    <x v="4"/>
    <x v="4"/>
    <x v="0"/>
  </r>
  <r>
    <x v="7"/>
    <x v="3"/>
    <x v="5"/>
    <x v="1"/>
    <x v="1"/>
    <x v="0"/>
    <x v="0"/>
    <d v="2018-04-05T00:00:00"/>
    <x v="0"/>
    <x v="1"/>
    <x v="1"/>
    <x v="1"/>
  </r>
  <r>
    <x v="4"/>
    <x v="0"/>
    <x v="2"/>
    <x v="1"/>
    <x v="4"/>
    <x v="3"/>
    <x v="2"/>
    <d v="2019-03-25T00:00:00"/>
    <x v="3"/>
    <x v="0"/>
    <x v="0"/>
    <x v="1"/>
  </r>
  <r>
    <x v="1"/>
    <x v="0"/>
    <x v="2"/>
    <x v="2"/>
    <x v="2"/>
    <x v="0"/>
    <x v="0"/>
    <d v="2018-04-05T00:00:00"/>
    <x v="0"/>
    <x v="0"/>
    <x v="0"/>
    <x v="1"/>
  </r>
  <r>
    <x v="2"/>
    <x v="3"/>
    <x v="3"/>
    <x v="0"/>
    <x v="2"/>
    <x v="1"/>
    <x v="2"/>
    <d v="2019-12-01T00:00:00"/>
    <x v="4"/>
    <x v="1"/>
    <x v="1"/>
    <x v="1"/>
  </r>
  <r>
    <x v="0"/>
    <x v="2"/>
    <x v="3"/>
    <x v="2"/>
    <x v="3"/>
    <x v="4"/>
    <x v="1"/>
    <d v="2020-01-15T00:00:00"/>
    <x v="2"/>
    <x v="1"/>
    <x v="1"/>
    <x v="1"/>
  </r>
  <r>
    <x v="9"/>
    <x v="5"/>
    <x v="5"/>
    <x v="1"/>
    <x v="4"/>
    <x v="4"/>
    <x v="2"/>
    <d v="2019-12-01T00:00:00"/>
    <x v="4"/>
    <x v="3"/>
    <x v="3"/>
    <x v="0"/>
  </r>
  <r>
    <x v="2"/>
    <x v="4"/>
    <x v="5"/>
    <x v="0"/>
    <x v="0"/>
    <x v="0"/>
    <x v="1"/>
    <d v="2020-02-20T00:00:00"/>
    <x v="1"/>
    <x v="4"/>
    <x v="4"/>
    <x v="0"/>
  </r>
  <r>
    <x v="3"/>
    <x v="1"/>
    <x v="3"/>
    <x v="0"/>
    <x v="1"/>
    <x v="1"/>
    <x v="2"/>
    <d v="2019-03-25T00:00:00"/>
    <x v="3"/>
    <x v="1"/>
    <x v="1"/>
    <x v="1"/>
  </r>
  <r>
    <x v="7"/>
    <x v="4"/>
    <x v="0"/>
    <x v="2"/>
    <x v="3"/>
    <x v="4"/>
    <x v="1"/>
    <d v="2020-02-20T00:00:00"/>
    <x v="1"/>
    <x v="1"/>
    <x v="1"/>
    <x v="1"/>
  </r>
  <r>
    <x v="3"/>
    <x v="3"/>
    <x v="2"/>
    <x v="1"/>
    <x v="1"/>
    <x v="1"/>
    <x v="2"/>
    <d v="2019-03-25T00:00:00"/>
    <x v="3"/>
    <x v="2"/>
    <x v="2"/>
    <x v="0"/>
  </r>
  <r>
    <x v="2"/>
    <x v="0"/>
    <x v="4"/>
    <x v="2"/>
    <x v="0"/>
    <x v="4"/>
    <x v="2"/>
    <d v="2019-12-01T00:00:00"/>
    <x v="4"/>
    <x v="1"/>
    <x v="1"/>
    <x v="1"/>
  </r>
  <r>
    <x v="4"/>
    <x v="0"/>
    <x v="5"/>
    <x v="2"/>
    <x v="0"/>
    <x v="1"/>
    <x v="0"/>
    <d v="2018-04-05T00:00:00"/>
    <x v="0"/>
    <x v="4"/>
    <x v="4"/>
    <x v="0"/>
  </r>
  <r>
    <x v="9"/>
    <x v="1"/>
    <x v="5"/>
    <x v="2"/>
    <x v="2"/>
    <x v="2"/>
    <x v="0"/>
    <d v="2018-04-05T00:00:00"/>
    <x v="0"/>
    <x v="0"/>
    <x v="0"/>
    <x v="1"/>
  </r>
  <r>
    <x v="9"/>
    <x v="0"/>
    <x v="3"/>
    <x v="0"/>
    <x v="0"/>
    <x v="1"/>
    <x v="2"/>
    <d v="2019-03-25T00:00:00"/>
    <x v="3"/>
    <x v="0"/>
    <x v="0"/>
    <x v="1"/>
  </r>
  <r>
    <x v="8"/>
    <x v="0"/>
    <x v="1"/>
    <x v="0"/>
    <x v="1"/>
    <x v="1"/>
    <x v="0"/>
    <d v="2018-04-05T00:00:00"/>
    <x v="0"/>
    <x v="0"/>
    <x v="0"/>
    <x v="1"/>
  </r>
  <r>
    <x v="9"/>
    <x v="1"/>
    <x v="4"/>
    <x v="1"/>
    <x v="4"/>
    <x v="0"/>
    <x v="2"/>
    <d v="2019-12-01T00:00:00"/>
    <x v="4"/>
    <x v="0"/>
    <x v="0"/>
    <x v="1"/>
  </r>
  <r>
    <x v="0"/>
    <x v="5"/>
    <x v="4"/>
    <x v="1"/>
    <x v="4"/>
    <x v="2"/>
    <x v="0"/>
    <d v="2018-04-05T00:00:00"/>
    <x v="0"/>
    <x v="2"/>
    <x v="2"/>
    <x v="0"/>
  </r>
  <r>
    <x v="9"/>
    <x v="5"/>
    <x v="5"/>
    <x v="2"/>
    <x v="2"/>
    <x v="3"/>
    <x v="2"/>
    <d v="2019-12-01T00:00:00"/>
    <x v="4"/>
    <x v="1"/>
    <x v="1"/>
    <x v="1"/>
  </r>
  <r>
    <x v="2"/>
    <x v="1"/>
    <x v="0"/>
    <x v="2"/>
    <x v="1"/>
    <x v="0"/>
    <x v="1"/>
    <d v="2020-02-20T00:00:00"/>
    <x v="1"/>
    <x v="0"/>
    <x v="0"/>
    <x v="1"/>
  </r>
  <r>
    <x v="8"/>
    <x v="3"/>
    <x v="1"/>
    <x v="2"/>
    <x v="1"/>
    <x v="3"/>
    <x v="2"/>
    <d v="2019-12-01T00:00:00"/>
    <x v="4"/>
    <x v="3"/>
    <x v="3"/>
    <x v="0"/>
  </r>
  <r>
    <x v="2"/>
    <x v="0"/>
    <x v="4"/>
    <x v="1"/>
    <x v="0"/>
    <x v="4"/>
    <x v="1"/>
    <d v="2020-01-15T00:00:00"/>
    <x v="2"/>
    <x v="0"/>
    <x v="0"/>
    <x v="1"/>
  </r>
  <r>
    <x v="2"/>
    <x v="0"/>
    <x v="5"/>
    <x v="0"/>
    <x v="1"/>
    <x v="3"/>
    <x v="1"/>
    <d v="2020-01-15T00:00:00"/>
    <x v="2"/>
    <x v="1"/>
    <x v="1"/>
    <x v="1"/>
  </r>
  <r>
    <x v="5"/>
    <x v="3"/>
    <x v="4"/>
    <x v="0"/>
    <x v="3"/>
    <x v="1"/>
    <x v="1"/>
    <d v="2020-01-15T00:00:00"/>
    <x v="2"/>
    <x v="0"/>
    <x v="0"/>
    <x v="1"/>
  </r>
  <r>
    <x v="8"/>
    <x v="5"/>
    <x v="1"/>
    <x v="2"/>
    <x v="0"/>
    <x v="3"/>
    <x v="2"/>
    <d v="2019-03-25T00:00:00"/>
    <x v="3"/>
    <x v="2"/>
    <x v="2"/>
    <x v="0"/>
  </r>
  <r>
    <x v="2"/>
    <x v="2"/>
    <x v="1"/>
    <x v="2"/>
    <x v="3"/>
    <x v="0"/>
    <x v="2"/>
    <d v="2019-03-25T00:00:00"/>
    <x v="3"/>
    <x v="4"/>
    <x v="4"/>
    <x v="0"/>
  </r>
  <r>
    <x v="5"/>
    <x v="2"/>
    <x v="2"/>
    <x v="2"/>
    <x v="2"/>
    <x v="0"/>
    <x v="2"/>
    <d v="2019-03-25T00:00:00"/>
    <x v="3"/>
    <x v="4"/>
    <x v="4"/>
    <x v="0"/>
  </r>
  <r>
    <x v="5"/>
    <x v="2"/>
    <x v="3"/>
    <x v="2"/>
    <x v="4"/>
    <x v="3"/>
    <x v="2"/>
    <d v="2019-12-01T00:00:00"/>
    <x v="4"/>
    <x v="1"/>
    <x v="1"/>
    <x v="1"/>
  </r>
  <r>
    <x v="8"/>
    <x v="5"/>
    <x v="3"/>
    <x v="1"/>
    <x v="2"/>
    <x v="0"/>
    <x v="2"/>
    <d v="2019-03-25T00:00:00"/>
    <x v="3"/>
    <x v="4"/>
    <x v="4"/>
    <x v="0"/>
  </r>
  <r>
    <x v="3"/>
    <x v="5"/>
    <x v="5"/>
    <x v="0"/>
    <x v="4"/>
    <x v="0"/>
    <x v="1"/>
    <d v="2020-02-20T00:00:00"/>
    <x v="1"/>
    <x v="4"/>
    <x v="4"/>
    <x v="0"/>
  </r>
  <r>
    <x v="4"/>
    <x v="3"/>
    <x v="1"/>
    <x v="2"/>
    <x v="2"/>
    <x v="3"/>
    <x v="1"/>
    <d v="2020-01-15T00:00:00"/>
    <x v="2"/>
    <x v="3"/>
    <x v="3"/>
    <x v="0"/>
  </r>
  <r>
    <x v="0"/>
    <x v="0"/>
    <x v="2"/>
    <x v="1"/>
    <x v="1"/>
    <x v="2"/>
    <x v="2"/>
    <d v="2019-12-01T00:00:00"/>
    <x v="4"/>
    <x v="1"/>
    <x v="1"/>
    <x v="1"/>
  </r>
  <r>
    <x v="4"/>
    <x v="3"/>
    <x v="2"/>
    <x v="2"/>
    <x v="3"/>
    <x v="2"/>
    <x v="1"/>
    <d v="2020-01-15T00:00:00"/>
    <x v="2"/>
    <x v="1"/>
    <x v="1"/>
    <x v="1"/>
  </r>
  <r>
    <x v="9"/>
    <x v="3"/>
    <x v="4"/>
    <x v="2"/>
    <x v="4"/>
    <x v="4"/>
    <x v="2"/>
    <d v="2019-03-25T00:00:00"/>
    <x v="3"/>
    <x v="4"/>
    <x v="4"/>
    <x v="0"/>
  </r>
  <r>
    <x v="0"/>
    <x v="5"/>
    <x v="4"/>
    <x v="0"/>
    <x v="0"/>
    <x v="0"/>
    <x v="2"/>
    <d v="2019-12-01T00:00:00"/>
    <x v="4"/>
    <x v="4"/>
    <x v="4"/>
    <x v="0"/>
  </r>
  <r>
    <x v="9"/>
    <x v="2"/>
    <x v="2"/>
    <x v="2"/>
    <x v="3"/>
    <x v="3"/>
    <x v="0"/>
    <d v="2018-04-05T00:00:00"/>
    <x v="0"/>
    <x v="4"/>
    <x v="4"/>
    <x v="0"/>
  </r>
  <r>
    <x v="2"/>
    <x v="4"/>
    <x v="4"/>
    <x v="0"/>
    <x v="0"/>
    <x v="0"/>
    <x v="1"/>
    <d v="2020-02-20T00:00:00"/>
    <x v="1"/>
    <x v="2"/>
    <x v="2"/>
    <x v="0"/>
  </r>
  <r>
    <x v="7"/>
    <x v="0"/>
    <x v="1"/>
    <x v="0"/>
    <x v="3"/>
    <x v="1"/>
    <x v="2"/>
    <d v="2019-03-25T00:00:00"/>
    <x v="3"/>
    <x v="0"/>
    <x v="0"/>
    <x v="1"/>
  </r>
  <r>
    <x v="8"/>
    <x v="5"/>
    <x v="0"/>
    <x v="0"/>
    <x v="3"/>
    <x v="0"/>
    <x v="2"/>
    <d v="2019-03-25T00:00:00"/>
    <x v="3"/>
    <x v="2"/>
    <x v="2"/>
    <x v="0"/>
  </r>
  <r>
    <x v="0"/>
    <x v="2"/>
    <x v="1"/>
    <x v="1"/>
    <x v="2"/>
    <x v="0"/>
    <x v="1"/>
    <d v="2020-02-20T00:00:00"/>
    <x v="1"/>
    <x v="1"/>
    <x v="1"/>
    <x v="1"/>
  </r>
  <r>
    <x v="0"/>
    <x v="4"/>
    <x v="2"/>
    <x v="1"/>
    <x v="4"/>
    <x v="2"/>
    <x v="1"/>
    <d v="2020-02-20T00:00:00"/>
    <x v="1"/>
    <x v="3"/>
    <x v="3"/>
    <x v="0"/>
  </r>
  <r>
    <x v="2"/>
    <x v="4"/>
    <x v="2"/>
    <x v="0"/>
    <x v="4"/>
    <x v="3"/>
    <x v="0"/>
    <d v="2018-04-05T00:00:00"/>
    <x v="0"/>
    <x v="0"/>
    <x v="0"/>
    <x v="1"/>
  </r>
  <r>
    <x v="3"/>
    <x v="5"/>
    <x v="1"/>
    <x v="2"/>
    <x v="3"/>
    <x v="0"/>
    <x v="2"/>
    <d v="2019-03-25T00:00:00"/>
    <x v="3"/>
    <x v="3"/>
    <x v="3"/>
    <x v="0"/>
  </r>
  <r>
    <x v="5"/>
    <x v="1"/>
    <x v="4"/>
    <x v="0"/>
    <x v="1"/>
    <x v="2"/>
    <x v="2"/>
    <d v="2019-03-25T00:00:00"/>
    <x v="3"/>
    <x v="1"/>
    <x v="1"/>
    <x v="1"/>
  </r>
  <r>
    <x v="2"/>
    <x v="0"/>
    <x v="4"/>
    <x v="2"/>
    <x v="1"/>
    <x v="4"/>
    <x v="1"/>
    <d v="2020-01-15T00:00:00"/>
    <x v="2"/>
    <x v="1"/>
    <x v="1"/>
    <x v="1"/>
  </r>
  <r>
    <x v="6"/>
    <x v="4"/>
    <x v="3"/>
    <x v="0"/>
    <x v="0"/>
    <x v="2"/>
    <x v="2"/>
    <d v="2019-12-01T00:00:00"/>
    <x v="4"/>
    <x v="3"/>
    <x v="3"/>
    <x v="0"/>
  </r>
  <r>
    <x v="5"/>
    <x v="5"/>
    <x v="2"/>
    <x v="2"/>
    <x v="0"/>
    <x v="2"/>
    <x v="2"/>
    <d v="2019-12-01T00:00:00"/>
    <x v="4"/>
    <x v="3"/>
    <x v="3"/>
    <x v="0"/>
  </r>
  <r>
    <x v="8"/>
    <x v="5"/>
    <x v="5"/>
    <x v="1"/>
    <x v="2"/>
    <x v="2"/>
    <x v="1"/>
    <d v="2020-01-15T00:00:00"/>
    <x v="2"/>
    <x v="3"/>
    <x v="3"/>
    <x v="0"/>
  </r>
  <r>
    <x v="5"/>
    <x v="2"/>
    <x v="3"/>
    <x v="2"/>
    <x v="3"/>
    <x v="0"/>
    <x v="2"/>
    <d v="2019-12-01T00:00:00"/>
    <x v="4"/>
    <x v="1"/>
    <x v="1"/>
    <x v="1"/>
  </r>
  <r>
    <x v="3"/>
    <x v="1"/>
    <x v="4"/>
    <x v="0"/>
    <x v="0"/>
    <x v="0"/>
    <x v="1"/>
    <d v="2020-02-20T00:00:00"/>
    <x v="1"/>
    <x v="4"/>
    <x v="4"/>
    <x v="0"/>
  </r>
  <r>
    <x v="5"/>
    <x v="0"/>
    <x v="1"/>
    <x v="1"/>
    <x v="0"/>
    <x v="4"/>
    <x v="2"/>
    <d v="2019-12-01T00:00:00"/>
    <x v="4"/>
    <x v="3"/>
    <x v="3"/>
    <x v="0"/>
  </r>
  <r>
    <x v="8"/>
    <x v="3"/>
    <x v="4"/>
    <x v="2"/>
    <x v="3"/>
    <x v="1"/>
    <x v="2"/>
    <d v="2019-12-01T00:00:00"/>
    <x v="4"/>
    <x v="0"/>
    <x v="0"/>
    <x v="1"/>
  </r>
  <r>
    <x v="3"/>
    <x v="2"/>
    <x v="1"/>
    <x v="2"/>
    <x v="2"/>
    <x v="1"/>
    <x v="1"/>
    <d v="2020-01-15T00:00:00"/>
    <x v="2"/>
    <x v="1"/>
    <x v="1"/>
    <x v="1"/>
  </r>
  <r>
    <x v="4"/>
    <x v="4"/>
    <x v="3"/>
    <x v="2"/>
    <x v="0"/>
    <x v="1"/>
    <x v="0"/>
    <d v="2018-04-05T00:00:00"/>
    <x v="0"/>
    <x v="2"/>
    <x v="2"/>
    <x v="0"/>
  </r>
  <r>
    <x v="0"/>
    <x v="4"/>
    <x v="2"/>
    <x v="2"/>
    <x v="2"/>
    <x v="4"/>
    <x v="2"/>
    <d v="2019-12-01T00:00:00"/>
    <x v="4"/>
    <x v="2"/>
    <x v="2"/>
    <x v="0"/>
  </r>
  <r>
    <x v="0"/>
    <x v="2"/>
    <x v="4"/>
    <x v="2"/>
    <x v="4"/>
    <x v="1"/>
    <x v="2"/>
    <d v="2019-12-01T00:00:00"/>
    <x v="4"/>
    <x v="0"/>
    <x v="0"/>
    <x v="1"/>
  </r>
  <r>
    <x v="9"/>
    <x v="5"/>
    <x v="1"/>
    <x v="1"/>
    <x v="2"/>
    <x v="1"/>
    <x v="0"/>
    <d v="2018-04-05T00:00:00"/>
    <x v="0"/>
    <x v="4"/>
    <x v="4"/>
    <x v="0"/>
  </r>
  <r>
    <x v="4"/>
    <x v="4"/>
    <x v="2"/>
    <x v="1"/>
    <x v="1"/>
    <x v="2"/>
    <x v="1"/>
    <d v="2020-01-15T00:00:00"/>
    <x v="2"/>
    <x v="3"/>
    <x v="3"/>
    <x v="0"/>
  </r>
  <r>
    <x v="4"/>
    <x v="1"/>
    <x v="5"/>
    <x v="1"/>
    <x v="1"/>
    <x v="0"/>
    <x v="0"/>
    <d v="2018-04-05T00:00:00"/>
    <x v="0"/>
    <x v="1"/>
    <x v="1"/>
    <x v="1"/>
  </r>
  <r>
    <x v="5"/>
    <x v="0"/>
    <x v="1"/>
    <x v="1"/>
    <x v="2"/>
    <x v="0"/>
    <x v="1"/>
    <d v="2020-01-15T00:00:00"/>
    <x v="2"/>
    <x v="3"/>
    <x v="3"/>
    <x v="0"/>
  </r>
  <r>
    <x v="0"/>
    <x v="1"/>
    <x v="3"/>
    <x v="0"/>
    <x v="1"/>
    <x v="2"/>
    <x v="1"/>
    <d v="2020-02-20T00:00:00"/>
    <x v="1"/>
    <x v="1"/>
    <x v="1"/>
    <x v="1"/>
  </r>
  <r>
    <x v="8"/>
    <x v="4"/>
    <x v="5"/>
    <x v="1"/>
    <x v="4"/>
    <x v="2"/>
    <x v="1"/>
    <d v="2020-01-15T00:00:00"/>
    <x v="2"/>
    <x v="2"/>
    <x v="2"/>
    <x v="0"/>
  </r>
  <r>
    <x v="1"/>
    <x v="3"/>
    <x v="5"/>
    <x v="2"/>
    <x v="3"/>
    <x v="2"/>
    <x v="1"/>
    <d v="2020-02-20T00:00:00"/>
    <x v="1"/>
    <x v="3"/>
    <x v="3"/>
    <x v="0"/>
  </r>
  <r>
    <x v="1"/>
    <x v="0"/>
    <x v="0"/>
    <x v="2"/>
    <x v="1"/>
    <x v="0"/>
    <x v="1"/>
    <d v="2020-02-20T00:00:00"/>
    <x v="1"/>
    <x v="0"/>
    <x v="0"/>
    <x v="1"/>
  </r>
  <r>
    <x v="3"/>
    <x v="0"/>
    <x v="4"/>
    <x v="1"/>
    <x v="1"/>
    <x v="1"/>
    <x v="1"/>
    <d v="2020-01-15T00:00:00"/>
    <x v="2"/>
    <x v="4"/>
    <x v="4"/>
    <x v="0"/>
  </r>
  <r>
    <x v="0"/>
    <x v="2"/>
    <x v="1"/>
    <x v="2"/>
    <x v="2"/>
    <x v="2"/>
    <x v="2"/>
    <d v="2019-03-25T00:00:00"/>
    <x v="3"/>
    <x v="0"/>
    <x v="0"/>
    <x v="1"/>
  </r>
  <r>
    <x v="0"/>
    <x v="2"/>
    <x v="5"/>
    <x v="1"/>
    <x v="4"/>
    <x v="4"/>
    <x v="1"/>
    <d v="2020-01-15T00:00:00"/>
    <x v="2"/>
    <x v="4"/>
    <x v="4"/>
    <x v="0"/>
  </r>
  <r>
    <x v="1"/>
    <x v="3"/>
    <x v="0"/>
    <x v="2"/>
    <x v="3"/>
    <x v="2"/>
    <x v="2"/>
    <d v="2019-12-01T00:00:00"/>
    <x v="4"/>
    <x v="3"/>
    <x v="3"/>
    <x v="0"/>
  </r>
  <r>
    <x v="0"/>
    <x v="5"/>
    <x v="3"/>
    <x v="0"/>
    <x v="2"/>
    <x v="3"/>
    <x v="2"/>
    <d v="2019-12-01T00:00:00"/>
    <x v="4"/>
    <x v="3"/>
    <x v="3"/>
    <x v="0"/>
  </r>
  <r>
    <x v="5"/>
    <x v="0"/>
    <x v="2"/>
    <x v="0"/>
    <x v="2"/>
    <x v="2"/>
    <x v="2"/>
    <d v="2019-03-25T00:00:00"/>
    <x v="3"/>
    <x v="4"/>
    <x v="4"/>
    <x v="0"/>
  </r>
  <r>
    <x v="6"/>
    <x v="3"/>
    <x v="1"/>
    <x v="1"/>
    <x v="4"/>
    <x v="0"/>
    <x v="1"/>
    <d v="2020-02-20T00:00:00"/>
    <x v="1"/>
    <x v="2"/>
    <x v="2"/>
    <x v="0"/>
  </r>
  <r>
    <x v="7"/>
    <x v="2"/>
    <x v="5"/>
    <x v="1"/>
    <x v="3"/>
    <x v="2"/>
    <x v="2"/>
    <d v="2019-03-25T00:00:00"/>
    <x v="3"/>
    <x v="1"/>
    <x v="1"/>
    <x v="1"/>
  </r>
  <r>
    <x v="4"/>
    <x v="2"/>
    <x v="4"/>
    <x v="1"/>
    <x v="4"/>
    <x v="3"/>
    <x v="2"/>
    <d v="2019-12-01T00:00:00"/>
    <x v="4"/>
    <x v="0"/>
    <x v="0"/>
    <x v="1"/>
  </r>
  <r>
    <x v="9"/>
    <x v="0"/>
    <x v="0"/>
    <x v="2"/>
    <x v="3"/>
    <x v="4"/>
    <x v="2"/>
    <d v="2019-03-25T00:00:00"/>
    <x v="3"/>
    <x v="0"/>
    <x v="0"/>
    <x v="1"/>
  </r>
  <r>
    <x v="3"/>
    <x v="1"/>
    <x v="5"/>
    <x v="1"/>
    <x v="4"/>
    <x v="1"/>
    <x v="1"/>
    <d v="2020-01-15T00:00:00"/>
    <x v="2"/>
    <x v="0"/>
    <x v="0"/>
    <x v="1"/>
  </r>
  <r>
    <x v="6"/>
    <x v="4"/>
    <x v="4"/>
    <x v="0"/>
    <x v="2"/>
    <x v="2"/>
    <x v="2"/>
    <d v="2019-03-25T00:00:00"/>
    <x v="3"/>
    <x v="3"/>
    <x v="3"/>
    <x v="0"/>
  </r>
  <r>
    <x v="1"/>
    <x v="2"/>
    <x v="5"/>
    <x v="2"/>
    <x v="2"/>
    <x v="3"/>
    <x v="1"/>
    <d v="2020-02-20T00:00:00"/>
    <x v="1"/>
    <x v="0"/>
    <x v="0"/>
    <x v="1"/>
  </r>
  <r>
    <x v="4"/>
    <x v="5"/>
    <x v="1"/>
    <x v="1"/>
    <x v="0"/>
    <x v="3"/>
    <x v="1"/>
    <d v="2020-01-15T00:00:00"/>
    <x v="2"/>
    <x v="1"/>
    <x v="1"/>
    <x v="1"/>
  </r>
  <r>
    <x v="0"/>
    <x v="5"/>
    <x v="1"/>
    <x v="2"/>
    <x v="1"/>
    <x v="4"/>
    <x v="0"/>
    <d v="2018-04-05T00:00:00"/>
    <x v="0"/>
    <x v="1"/>
    <x v="1"/>
    <x v="1"/>
  </r>
  <r>
    <x v="9"/>
    <x v="2"/>
    <x v="1"/>
    <x v="2"/>
    <x v="4"/>
    <x v="0"/>
    <x v="2"/>
    <d v="2019-12-01T00:00:00"/>
    <x v="4"/>
    <x v="4"/>
    <x v="4"/>
    <x v="0"/>
  </r>
  <r>
    <x v="0"/>
    <x v="1"/>
    <x v="3"/>
    <x v="1"/>
    <x v="0"/>
    <x v="2"/>
    <x v="2"/>
    <d v="2019-12-01T00:00:00"/>
    <x v="4"/>
    <x v="3"/>
    <x v="3"/>
    <x v="0"/>
  </r>
  <r>
    <x v="8"/>
    <x v="1"/>
    <x v="3"/>
    <x v="2"/>
    <x v="1"/>
    <x v="3"/>
    <x v="2"/>
    <d v="2019-03-25T00:00:00"/>
    <x v="3"/>
    <x v="1"/>
    <x v="1"/>
    <x v="1"/>
  </r>
  <r>
    <x v="8"/>
    <x v="3"/>
    <x v="0"/>
    <x v="0"/>
    <x v="4"/>
    <x v="4"/>
    <x v="1"/>
    <d v="2020-01-15T00:00:00"/>
    <x v="2"/>
    <x v="2"/>
    <x v="2"/>
    <x v="0"/>
  </r>
  <r>
    <x v="9"/>
    <x v="5"/>
    <x v="1"/>
    <x v="0"/>
    <x v="3"/>
    <x v="1"/>
    <x v="0"/>
    <d v="2018-04-05T00:00:00"/>
    <x v="0"/>
    <x v="3"/>
    <x v="3"/>
    <x v="0"/>
  </r>
  <r>
    <x v="9"/>
    <x v="3"/>
    <x v="4"/>
    <x v="2"/>
    <x v="1"/>
    <x v="3"/>
    <x v="1"/>
    <d v="2020-01-15T00:00:00"/>
    <x v="2"/>
    <x v="3"/>
    <x v="3"/>
    <x v="0"/>
  </r>
  <r>
    <x v="1"/>
    <x v="5"/>
    <x v="5"/>
    <x v="1"/>
    <x v="2"/>
    <x v="4"/>
    <x v="2"/>
    <d v="2019-12-01T00:00:00"/>
    <x v="4"/>
    <x v="1"/>
    <x v="1"/>
    <x v="1"/>
  </r>
  <r>
    <x v="9"/>
    <x v="4"/>
    <x v="2"/>
    <x v="2"/>
    <x v="0"/>
    <x v="0"/>
    <x v="1"/>
    <d v="2020-01-15T00:00:00"/>
    <x v="2"/>
    <x v="2"/>
    <x v="2"/>
    <x v="0"/>
  </r>
  <r>
    <x v="5"/>
    <x v="4"/>
    <x v="4"/>
    <x v="0"/>
    <x v="1"/>
    <x v="0"/>
    <x v="0"/>
    <d v="2018-04-05T00:00:00"/>
    <x v="0"/>
    <x v="4"/>
    <x v="4"/>
    <x v="0"/>
  </r>
  <r>
    <x v="0"/>
    <x v="0"/>
    <x v="3"/>
    <x v="2"/>
    <x v="1"/>
    <x v="3"/>
    <x v="2"/>
    <d v="2019-03-25T00:00:00"/>
    <x v="3"/>
    <x v="1"/>
    <x v="1"/>
    <x v="1"/>
  </r>
  <r>
    <x v="6"/>
    <x v="3"/>
    <x v="3"/>
    <x v="2"/>
    <x v="2"/>
    <x v="3"/>
    <x v="1"/>
    <d v="2020-02-20T00:00:00"/>
    <x v="1"/>
    <x v="2"/>
    <x v="2"/>
    <x v="0"/>
  </r>
  <r>
    <x v="2"/>
    <x v="2"/>
    <x v="4"/>
    <x v="0"/>
    <x v="4"/>
    <x v="2"/>
    <x v="1"/>
    <d v="2020-01-15T00:00:00"/>
    <x v="2"/>
    <x v="3"/>
    <x v="3"/>
    <x v="0"/>
  </r>
  <r>
    <x v="9"/>
    <x v="3"/>
    <x v="3"/>
    <x v="2"/>
    <x v="3"/>
    <x v="4"/>
    <x v="1"/>
    <d v="2020-02-20T00:00:00"/>
    <x v="1"/>
    <x v="2"/>
    <x v="2"/>
    <x v="0"/>
  </r>
  <r>
    <x v="3"/>
    <x v="2"/>
    <x v="1"/>
    <x v="2"/>
    <x v="2"/>
    <x v="3"/>
    <x v="2"/>
    <d v="2019-12-01T00:00:00"/>
    <x v="4"/>
    <x v="3"/>
    <x v="3"/>
    <x v="0"/>
  </r>
  <r>
    <x v="8"/>
    <x v="1"/>
    <x v="0"/>
    <x v="1"/>
    <x v="3"/>
    <x v="2"/>
    <x v="2"/>
    <d v="2019-03-25T00:00:00"/>
    <x v="3"/>
    <x v="1"/>
    <x v="1"/>
    <x v="1"/>
  </r>
  <r>
    <x v="5"/>
    <x v="3"/>
    <x v="5"/>
    <x v="1"/>
    <x v="4"/>
    <x v="2"/>
    <x v="2"/>
    <d v="2019-03-25T00:00:00"/>
    <x v="3"/>
    <x v="1"/>
    <x v="1"/>
    <x v="1"/>
  </r>
  <r>
    <x v="4"/>
    <x v="1"/>
    <x v="0"/>
    <x v="0"/>
    <x v="1"/>
    <x v="3"/>
    <x v="1"/>
    <d v="2020-01-15T00:00:00"/>
    <x v="2"/>
    <x v="0"/>
    <x v="0"/>
    <x v="1"/>
  </r>
  <r>
    <x v="2"/>
    <x v="4"/>
    <x v="5"/>
    <x v="0"/>
    <x v="3"/>
    <x v="0"/>
    <x v="2"/>
    <d v="2019-03-25T00:00:00"/>
    <x v="3"/>
    <x v="0"/>
    <x v="0"/>
    <x v="1"/>
  </r>
  <r>
    <x v="6"/>
    <x v="4"/>
    <x v="5"/>
    <x v="0"/>
    <x v="0"/>
    <x v="4"/>
    <x v="1"/>
    <d v="2020-01-15T00:00:00"/>
    <x v="2"/>
    <x v="0"/>
    <x v="0"/>
    <x v="1"/>
  </r>
  <r>
    <x v="2"/>
    <x v="0"/>
    <x v="0"/>
    <x v="1"/>
    <x v="0"/>
    <x v="4"/>
    <x v="1"/>
    <d v="2020-01-15T00:00:00"/>
    <x v="2"/>
    <x v="1"/>
    <x v="1"/>
    <x v="1"/>
  </r>
  <r>
    <x v="9"/>
    <x v="3"/>
    <x v="4"/>
    <x v="0"/>
    <x v="2"/>
    <x v="0"/>
    <x v="1"/>
    <d v="2020-02-20T00:00:00"/>
    <x v="1"/>
    <x v="4"/>
    <x v="4"/>
    <x v="0"/>
  </r>
  <r>
    <x v="1"/>
    <x v="1"/>
    <x v="5"/>
    <x v="0"/>
    <x v="4"/>
    <x v="3"/>
    <x v="2"/>
    <d v="2019-03-25T00:00:00"/>
    <x v="3"/>
    <x v="1"/>
    <x v="1"/>
    <x v="1"/>
  </r>
  <r>
    <x v="8"/>
    <x v="2"/>
    <x v="0"/>
    <x v="0"/>
    <x v="2"/>
    <x v="4"/>
    <x v="1"/>
    <d v="2020-01-15T00:00:00"/>
    <x v="2"/>
    <x v="2"/>
    <x v="2"/>
    <x v="0"/>
  </r>
  <r>
    <x v="8"/>
    <x v="4"/>
    <x v="5"/>
    <x v="1"/>
    <x v="2"/>
    <x v="3"/>
    <x v="1"/>
    <d v="2020-02-20T00:00:00"/>
    <x v="1"/>
    <x v="1"/>
    <x v="1"/>
    <x v="1"/>
  </r>
  <r>
    <x v="4"/>
    <x v="4"/>
    <x v="2"/>
    <x v="2"/>
    <x v="2"/>
    <x v="3"/>
    <x v="0"/>
    <d v="2018-04-05T00:00:00"/>
    <x v="0"/>
    <x v="1"/>
    <x v="1"/>
    <x v="1"/>
  </r>
  <r>
    <x v="1"/>
    <x v="2"/>
    <x v="4"/>
    <x v="0"/>
    <x v="0"/>
    <x v="2"/>
    <x v="1"/>
    <d v="2020-02-20T00:00:00"/>
    <x v="1"/>
    <x v="3"/>
    <x v="3"/>
    <x v="0"/>
  </r>
  <r>
    <x v="0"/>
    <x v="1"/>
    <x v="1"/>
    <x v="2"/>
    <x v="0"/>
    <x v="0"/>
    <x v="1"/>
    <d v="2020-02-20T00:00:00"/>
    <x v="1"/>
    <x v="3"/>
    <x v="3"/>
    <x v="0"/>
  </r>
  <r>
    <x v="7"/>
    <x v="1"/>
    <x v="5"/>
    <x v="0"/>
    <x v="2"/>
    <x v="3"/>
    <x v="1"/>
    <d v="2020-01-15T00:00:00"/>
    <x v="2"/>
    <x v="3"/>
    <x v="3"/>
    <x v="0"/>
  </r>
  <r>
    <x v="5"/>
    <x v="3"/>
    <x v="2"/>
    <x v="2"/>
    <x v="0"/>
    <x v="1"/>
    <x v="2"/>
    <d v="2019-12-01T00:00:00"/>
    <x v="4"/>
    <x v="1"/>
    <x v="1"/>
    <x v="1"/>
  </r>
  <r>
    <x v="8"/>
    <x v="3"/>
    <x v="1"/>
    <x v="1"/>
    <x v="4"/>
    <x v="0"/>
    <x v="2"/>
    <d v="2019-12-01T00:00:00"/>
    <x v="4"/>
    <x v="4"/>
    <x v="4"/>
    <x v="0"/>
  </r>
  <r>
    <x v="3"/>
    <x v="5"/>
    <x v="1"/>
    <x v="1"/>
    <x v="2"/>
    <x v="4"/>
    <x v="2"/>
    <d v="2019-12-01T00:00:00"/>
    <x v="4"/>
    <x v="2"/>
    <x v="2"/>
    <x v="0"/>
  </r>
  <r>
    <x v="8"/>
    <x v="5"/>
    <x v="5"/>
    <x v="0"/>
    <x v="0"/>
    <x v="2"/>
    <x v="1"/>
    <d v="2020-02-20T00:00:00"/>
    <x v="1"/>
    <x v="2"/>
    <x v="2"/>
    <x v="0"/>
  </r>
  <r>
    <x v="2"/>
    <x v="0"/>
    <x v="0"/>
    <x v="2"/>
    <x v="3"/>
    <x v="4"/>
    <x v="1"/>
    <d v="2020-01-15T00:00:00"/>
    <x v="2"/>
    <x v="4"/>
    <x v="4"/>
    <x v="0"/>
  </r>
  <r>
    <x v="8"/>
    <x v="4"/>
    <x v="5"/>
    <x v="1"/>
    <x v="2"/>
    <x v="4"/>
    <x v="2"/>
    <d v="2019-03-25T00:00:00"/>
    <x v="3"/>
    <x v="4"/>
    <x v="4"/>
    <x v="0"/>
  </r>
  <r>
    <x v="8"/>
    <x v="3"/>
    <x v="2"/>
    <x v="0"/>
    <x v="2"/>
    <x v="0"/>
    <x v="1"/>
    <d v="2020-02-20T00:00:00"/>
    <x v="1"/>
    <x v="2"/>
    <x v="2"/>
    <x v="0"/>
  </r>
  <r>
    <x v="7"/>
    <x v="1"/>
    <x v="1"/>
    <x v="0"/>
    <x v="4"/>
    <x v="4"/>
    <x v="1"/>
    <d v="2020-02-20T00:00:00"/>
    <x v="1"/>
    <x v="0"/>
    <x v="0"/>
    <x v="1"/>
  </r>
  <r>
    <x v="7"/>
    <x v="2"/>
    <x v="5"/>
    <x v="1"/>
    <x v="1"/>
    <x v="3"/>
    <x v="1"/>
    <d v="2020-01-15T00:00:00"/>
    <x v="2"/>
    <x v="3"/>
    <x v="3"/>
    <x v="0"/>
  </r>
  <r>
    <x v="6"/>
    <x v="1"/>
    <x v="0"/>
    <x v="1"/>
    <x v="1"/>
    <x v="4"/>
    <x v="0"/>
    <d v="2018-04-05T00:00:00"/>
    <x v="0"/>
    <x v="3"/>
    <x v="3"/>
    <x v="0"/>
  </r>
  <r>
    <x v="0"/>
    <x v="4"/>
    <x v="5"/>
    <x v="0"/>
    <x v="4"/>
    <x v="2"/>
    <x v="1"/>
    <d v="2020-02-20T00:00:00"/>
    <x v="1"/>
    <x v="2"/>
    <x v="2"/>
    <x v="0"/>
  </r>
  <r>
    <x v="3"/>
    <x v="5"/>
    <x v="4"/>
    <x v="2"/>
    <x v="4"/>
    <x v="2"/>
    <x v="0"/>
    <d v="2018-04-05T00:00:00"/>
    <x v="0"/>
    <x v="4"/>
    <x v="4"/>
    <x v="0"/>
  </r>
  <r>
    <x v="8"/>
    <x v="1"/>
    <x v="0"/>
    <x v="2"/>
    <x v="4"/>
    <x v="1"/>
    <x v="0"/>
    <d v="2018-04-05T00:00:00"/>
    <x v="0"/>
    <x v="0"/>
    <x v="0"/>
    <x v="1"/>
  </r>
  <r>
    <x v="8"/>
    <x v="0"/>
    <x v="2"/>
    <x v="2"/>
    <x v="1"/>
    <x v="2"/>
    <x v="2"/>
    <d v="2019-12-01T00:00:00"/>
    <x v="4"/>
    <x v="2"/>
    <x v="2"/>
    <x v="0"/>
  </r>
  <r>
    <x v="5"/>
    <x v="4"/>
    <x v="1"/>
    <x v="0"/>
    <x v="4"/>
    <x v="4"/>
    <x v="1"/>
    <d v="2020-01-15T00:00:00"/>
    <x v="2"/>
    <x v="3"/>
    <x v="3"/>
    <x v="0"/>
  </r>
  <r>
    <x v="7"/>
    <x v="5"/>
    <x v="5"/>
    <x v="1"/>
    <x v="0"/>
    <x v="2"/>
    <x v="0"/>
    <d v="2018-04-05T00:00:00"/>
    <x v="0"/>
    <x v="1"/>
    <x v="1"/>
    <x v="1"/>
  </r>
  <r>
    <x v="3"/>
    <x v="2"/>
    <x v="0"/>
    <x v="0"/>
    <x v="2"/>
    <x v="0"/>
    <x v="1"/>
    <d v="2020-01-15T00:00:00"/>
    <x v="2"/>
    <x v="4"/>
    <x v="4"/>
    <x v="0"/>
  </r>
  <r>
    <x v="4"/>
    <x v="5"/>
    <x v="4"/>
    <x v="1"/>
    <x v="2"/>
    <x v="2"/>
    <x v="2"/>
    <d v="2019-12-01T00:00:00"/>
    <x v="4"/>
    <x v="1"/>
    <x v="1"/>
    <x v="1"/>
  </r>
  <r>
    <x v="6"/>
    <x v="0"/>
    <x v="0"/>
    <x v="2"/>
    <x v="3"/>
    <x v="3"/>
    <x v="1"/>
    <d v="2020-01-15T00:00:00"/>
    <x v="2"/>
    <x v="2"/>
    <x v="2"/>
    <x v="0"/>
  </r>
  <r>
    <x v="0"/>
    <x v="4"/>
    <x v="3"/>
    <x v="2"/>
    <x v="3"/>
    <x v="0"/>
    <x v="1"/>
    <d v="2020-02-20T00:00:00"/>
    <x v="1"/>
    <x v="3"/>
    <x v="3"/>
    <x v="0"/>
  </r>
  <r>
    <x v="1"/>
    <x v="2"/>
    <x v="4"/>
    <x v="1"/>
    <x v="2"/>
    <x v="1"/>
    <x v="0"/>
    <d v="2018-04-05T00:00:00"/>
    <x v="0"/>
    <x v="0"/>
    <x v="0"/>
    <x v="1"/>
  </r>
  <r>
    <x v="0"/>
    <x v="0"/>
    <x v="2"/>
    <x v="1"/>
    <x v="0"/>
    <x v="3"/>
    <x v="1"/>
    <d v="2020-01-15T00:00:00"/>
    <x v="2"/>
    <x v="1"/>
    <x v="1"/>
    <x v="1"/>
  </r>
  <r>
    <x v="2"/>
    <x v="5"/>
    <x v="1"/>
    <x v="0"/>
    <x v="1"/>
    <x v="4"/>
    <x v="2"/>
    <d v="2019-03-25T00:00:00"/>
    <x v="3"/>
    <x v="0"/>
    <x v="0"/>
    <x v="1"/>
  </r>
  <r>
    <x v="8"/>
    <x v="0"/>
    <x v="2"/>
    <x v="2"/>
    <x v="1"/>
    <x v="4"/>
    <x v="1"/>
    <d v="2020-01-15T00:00:00"/>
    <x v="2"/>
    <x v="3"/>
    <x v="3"/>
    <x v="0"/>
  </r>
  <r>
    <x v="6"/>
    <x v="4"/>
    <x v="5"/>
    <x v="0"/>
    <x v="0"/>
    <x v="4"/>
    <x v="0"/>
    <d v="2018-04-05T00:00:00"/>
    <x v="0"/>
    <x v="1"/>
    <x v="1"/>
    <x v="1"/>
  </r>
  <r>
    <x v="2"/>
    <x v="3"/>
    <x v="0"/>
    <x v="0"/>
    <x v="1"/>
    <x v="3"/>
    <x v="2"/>
    <d v="2019-12-01T00:00:00"/>
    <x v="4"/>
    <x v="0"/>
    <x v="0"/>
    <x v="1"/>
  </r>
  <r>
    <x v="3"/>
    <x v="0"/>
    <x v="3"/>
    <x v="0"/>
    <x v="4"/>
    <x v="3"/>
    <x v="2"/>
    <d v="2019-12-01T00:00:00"/>
    <x v="4"/>
    <x v="0"/>
    <x v="0"/>
    <x v="1"/>
  </r>
  <r>
    <x v="1"/>
    <x v="0"/>
    <x v="4"/>
    <x v="2"/>
    <x v="2"/>
    <x v="3"/>
    <x v="0"/>
    <d v="2018-04-05T00:00:00"/>
    <x v="0"/>
    <x v="1"/>
    <x v="1"/>
    <x v="1"/>
  </r>
  <r>
    <x v="7"/>
    <x v="5"/>
    <x v="4"/>
    <x v="0"/>
    <x v="2"/>
    <x v="0"/>
    <x v="1"/>
    <d v="2020-02-20T00:00:00"/>
    <x v="1"/>
    <x v="3"/>
    <x v="3"/>
    <x v="0"/>
  </r>
  <r>
    <x v="6"/>
    <x v="5"/>
    <x v="0"/>
    <x v="0"/>
    <x v="0"/>
    <x v="0"/>
    <x v="1"/>
    <d v="2020-02-20T00:00:00"/>
    <x v="1"/>
    <x v="0"/>
    <x v="0"/>
    <x v="1"/>
  </r>
  <r>
    <x v="6"/>
    <x v="2"/>
    <x v="3"/>
    <x v="0"/>
    <x v="1"/>
    <x v="4"/>
    <x v="2"/>
    <d v="2019-12-01T00:00:00"/>
    <x v="4"/>
    <x v="2"/>
    <x v="2"/>
    <x v="0"/>
  </r>
  <r>
    <x v="8"/>
    <x v="5"/>
    <x v="0"/>
    <x v="0"/>
    <x v="3"/>
    <x v="2"/>
    <x v="2"/>
    <d v="2019-12-01T00:00:00"/>
    <x v="4"/>
    <x v="1"/>
    <x v="1"/>
    <x v="1"/>
  </r>
  <r>
    <x v="9"/>
    <x v="1"/>
    <x v="5"/>
    <x v="0"/>
    <x v="3"/>
    <x v="4"/>
    <x v="0"/>
    <d v="2018-04-05T00:00:00"/>
    <x v="0"/>
    <x v="4"/>
    <x v="4"/>
    <x v="0"/>
  </r>
  <r>
    <x v="6"/>
    <x v="4"/>
    <x v="2"/>
    <x v="0"/>
    <x v="1"/>
    <x v="1"/>
    <x v="1"/>
    <d v="2020-02-20T00:00:00"/>
    <x v="1"/>
    <x v="4"/>
    <x v="4"/>
    <x v="0"/>
  </r>
  <r>
    <x v="5"/>
    <x v="4"/>
    <x v="4"/>
    <x v="2"/>
    <x v="3"/>
    <x v="0"/>
    <x v="2"/>
    <d v="2019-12-01T00:00:00"/>
    <x v="4"/>
    <x v="3"/>
    <x v="3"/>
    <x v="0"/>
  </r>
  <r>
    <x v="1"/>
    <x v="3"/>
    <x v="5"/>
    <x v="0"/>
    <x v="0"/>
    <x v="3"/>
    <x v="1"/>
    <d v="2020-02-20T00:00:00"/>
    <x v="1"/>
    <x v="2"/>
    <x v="2"/>
    <x v="0"/>
  </r>
  <r>
    <x v="1"/>
    <x v="3"/>
    <x v="2"/>
    <x v="1"/>
    <x v="0"/>
    <x v="0"/>
    <x v="2"/>
    <d v="2019-12-01T00:00:00"/>
    <x v="4"/>
    <x v="0"/>
    <x v="0"/>
    <x v="1"/>
  </r>
  <r>
    <x v="5"/>
    <x v="4"/>
    <x v="5"/>
    <x v="0"/>
    <x v="1"/>
    <x v="3"/>
    <x v="1"/>
    <d v="2020-01-15T00:00:00"/>
    <x v="2"/>
    <x v="4"/>
    <x v="4"/>
    <x v="0"/>
  </r>
  <r>
    <x v="4"/>
    <x v="3"/>
    <x v="3"/>
    <x v="0"/>
    <x v="3"/>
    <x v="1"/>
    <x v="2"/>
    <d v="2019-03-25T00:00:00"/>
    <x v="3"/>
    <x v="3"/>
    <x v="3"/>
    <x v="0"/>
  </r>
  <r>
    <x v="5"/>
    <x v="2"/>
    <x v="4"/>
    <x v="2"/>
    <x v="0"/>
    <x v="1"/>
    <x v="1"/>
    <d v="2020-01-15T00:00:00"/>
    <x v="2"/>
    <x v="2"/>
    <x v="2"/>
    <x v="0"/>
  </r>
  <r>
    <x v="5"/>
    <x v="5"/>
    <x v="0"/>
    <x v="2"/>
    <x v="0"/>
    <x v="0"/>
    <x v="2"/>
    <d v="2019-12-01T00:00:00"/>
    <x v="4"/>
    <x v="2"/>
    <x v="2"/>
    <x v="0"/>
  </r>
  <r>
    <x v="1"/>
    <x v="4"/>
    <x v="0"/>
    <x v="1"/>
    <x v="4"/>
    <x v="3"/>
    <x v="2"/>
    <d v="2019-03-25T00:00:00"/>
    <x v="3"/>
    <x v="3"/>
    <x v="3"/>
    <x v="0"/>
  </r>
  <r>
    <x v="0"/>
    <x v="3"/>
    <x v="2"/>
    <x v="1"/>
    <x v="4"/>
    <x v="1"/>
    <x v="2"/>
    <d v="2019-03-25T00:00:00"/>
    <x v="3"/>
    <x v="3"/>
    <x v="3"/>
    <x v="0"/>
  </r>
  <r>
    <x v="1"/>
    <x v="4"/>
    <x v="1"/>
    <x v="2"/>
    <x v="0"/>
    <x v="4"/>
    <x v="2"/>
    <d v="2019-12-01T00:00:00"/>
    <x v="4"/>
    <x v="0"/>
    <x v="0"/>
    <x v="1"/>
  </r>
  <r>
    <x v="9"/>
    <x v="1"/>
    <x v="3"/>
    <x v="2"/>
    <x v="1"/>
    <x v="4"/>
    <x v="2"/>
    <d v="2019-12-01T00:00:00"/>
    <x v="4"/>
    <x v="3"/>
    <x v="3"/>
    <x v="0"/>
  </r>
  <r>
    <x v="8"/>
    <x v="0"/>
    <x v="2"/>
    <x v="0"/>
    <x v="2"/>
    <x v="3"/>
    <x v="1"/>
    <d v="2020-02-20T00:00:00"/>
    <x v="1"/>
    <x v="0"/>
    <x v="0"/>
    <x v="1"/>
  </r>
  <r>
    <x v="2"/>
    <x v="5"/>
    <x v="1"/>
    <x v="2"/>
    <x v="2"/>
    <x v="0"/>
    <x v="2"/>
    <d v="2019-12-01T00:00:00"/>
    <x v="4"/>
    <x v="0"/>
    <x v="0"/>
    <x v="1"/>
  </r>
  <r>
    <x v="0"/>
    <x v="4"/>
    <x v="5"/>
    <x v="1"/>
    <x v="0"/>
    <x v="1"/>
    <x v="0"/>
    <d v="2018-04-05T00:00:00"/>
    <x v="0"/>
    <x v="1"/>
    <x v="1"/>
    <x v="1"/>
  </r>
  <r>
    <x v="7"/>
    <x v="0"/>
    <x v="3"/>
    <x v="0"/>
    <x v="0"/>
    <x v="0"/>
    <x v="2"/>
    <d v="2019-12-01T00:00:00"/>
    <x v="4"/>
    <x v="2"/>
    <x v="2"/>
    <x v="0"/>
  </r>
  <r>
    <x v="2"/>
    <x v="3"/>
    <x v="5"/>
    <x v="1"/>
    <x v="0"/>
    <x v="4"/>
    <x v="0"/>
    <d v="2018-04-05T00:00:00"/>
    <x v="0"/>
    <x v="2"/>
    <x v="2"/>
    <x v="0"/>
  </r>
  <r>
    <x v="8"/>
    <x v="0"/>
    <x v="4"/>
    <x v="0"/>
    <x v="1"/>
    <x v="1"/>
    <x v="2"/>
    <d v="2019-12-01T00:00:00"/>
    <x v="4"/>
    <x v="2"/>
    <x v="2"/>
    <x v="0"/>
  </r>
  <r>
    <x v="9"/>
    <x v="5"/>
    <x v="3"/>
    <x v="2"/>
    <x v="4"/>
    <x v="0"/>
    <x v="1"/>
    <d v="2020-02-20T00:00:00"/>
    <x v="1"/>
    <x v="1"/>
    <x v="1"/>
    <x v="1"/>
  </r>
  <r>
    <x v="9"/>
    <x v="4"/>
    <x v="1"/>
    <x v="1"/>
    <x v="0"/>
    <x v="2"/>
    <x v="0"/>
    <d v="2018-04-05T00:00:00"/>
    <x v="0"/>
    <x v="0"/>
    <x v="0"/>
    <x v="1"/>
  </r>
  <r>
    <x v="7"/>
    <x v="1"/>
    <x v="4"/>
    <x v="0"/>
    <x v="0"/>
    <x v="3"/>
    <x v="1"/>
    <d v="2020-01-15T00:00:00"/>
    <x v="2"/>
    <x v="0"/>
    <x v="0"/>
    <x v="1"/>
  </r>
  <r>
    <x v="0"/>
    <x v="3"/>
    <x v="0"/>
    <x v="0"/>
    <x v="3"/>
    <x v="3"/>
    <x v="0"/>
    <d v="2018-04-05T00:00:00"/>
    <x v="0"/>
    <x v="3"/>
    <x v="3"/>
    <x v="0"/>
  </r>
  <r>
    <x v="4"/>
    <x v="4"/>
    <x v="1"/>
    <x v="2"/>
    <x v="1"/>
    <x v="2"/>
    <x v="1"/>
    <d v="2020-02-20T00:00:00"/>
    <x v="1"/>
    <x v="1"/>
    <x v="1"/>
    <x v="1"/>
  </r>
  <r>
    <x v="5"/>
    <x v="5"/>
    <x v="2"/>
    <x v="2"/>
    <x v="0"/>
    <x v="4"/>
    <x v="0"/>
    <d v="2018-04-05T00:00:00"/>
    <x v="0"/>
    <x v="3"/>
    <x v="3"/>
    <x v="0"/>
  </r>
  <r>
    <x v="0"/>
    <x v="3"/>
    <x v="0"/>
    <x v="2"/>
    <x v="3"/>
    <x v="1"/>
    <x v="2"/>
    <d v="2019-12-01T00:00:00"/>
    <x v="4"/>
    <x v="1"/>
    <x v="1"/>
    <x v="1"/>
  </r>
  <r>
    <x v="4"/>
    <x v="2"/>
    <x v="0"/>
    <x v="1"/>
    <x v="2"/>
    <x v="3"/>
    <x v="2"/>
    <d v="2019-12-01T00:00:00"/>
    <x v="4"/>
    <x v="3"/>
    <x v="3"/>
    <x v="0"/>
  </r>
  <r>
    <x v="9"/>
    <x v="0"/>
    <x v="2"/>
    <x v="0"/>
    <x v="0"/>
    <x v="2"/>
    <x v="1"/>
    <d v="2020-02-20T00:00:00"/>
    <x v="1"/>
    <x v="4"/>
    <x v="4"/>
    <x v="0"/>
  </r>
  <r>
    <x v="1"/>
    <x v="5"/>
    <x v="3"/>
    <x v="2"/>
    <x v="0"/>
    <x v="2"/>
    <x v="2"/>
    <d v="2019-03-25T00:00:00"/>
    <x v="3"/>
    <x v="2"/>
    <x v="2"/>
    <x v="0"/>
  </r>
  <r>
    <x v="8"/>
    <x v="2"/>
    <x v="0"/>
    <x v="1"/>
    <x v="3"/>
    <x v="4"/>
    <x v="2"/>
    <d v="2019-12-01T00:00:00"/>
    <x v="4"/>
    <x v="2"/>
    <x v="2"/>
    <x v="0"/>
  </r>
  <r>
    <x v="7"/>
    <x v="4"/>
    <x v="1"/>
    <x v="1"/>
    <x v="1"/>
    <x v="4"/>
    <x v="1"/>
    <d v="2020-01-15T00:00:00"/>
    <x v="2"/>
    <x v="0"/>
    <x v="0"/>
    <x v="1"/>
  </r>
  <r>
    <x v="8"/>
    <x v="1"/>
    <x v="4"/>
    <x v="1"/>
    <x v="0"/>
    <x v="0"/>
    <x v="1"/>
    <d v="2020-02-20T00:00:00"/>
    <x v="1"/>
    <x v="4"/>
    <x v="4"/>
    <x v="0"/>
  </r>
  <r>
    <x v="3"/>
    <x v="3"/>
    <x v="0"/>
    <x v="2"/>
    <x v="2"/>
    <x v="3"/>
    <x v="0"/>
    <d v="2018-04-05T00:00:00"/>
    <x v="0"/>
    <x v="2"/>
    <x v="2"/>
    <x v="0"/>
  </r>
  <r>
    <x v="3"/>
    <x v="0"/>
    <x v="1"/>
    <x v="2"/>
    <x v="0"/>
    <x v="0"/>
    <x v="0"/>
    <d v="2018-04-05T00:00:00"/>
    <x v="0"/>
    <x v="0"/>
    <x v="0"/>
    <x v="1"/>
  </r>
  <r>
    <x v="0"/>
    <x v="3"/>
    <x v="5"/>
    <x v="0"/>
    <x v="2"/>
    <x v="2"/>
    <x v="1"/>
    <d v="2020-01-15T00:00:00"/>
    <x v="2"/>
    <x v="4"/>
    <x v="4"/>
    <x v="0"/>
  </r>
  <r>
    <x v="9"/>
    <x v="4"/>
    <x v="1"/>
    <x v="0"/>
    <x v="4"/>
    <x v="1"/>
    <x v="2"/>
    <d v="2019-12-01T00:00:00"/>
    <x v="4"/>
    <x v="2"/>
    <x v="2"/>
    <x v="0"/>
  </r>
  <r>
    <x v="9"/>
    <x v="3"/>
    <x v="4"/>
    <x v="2"/>
    <x v="4"/>
    <x v="1"/>
    <x v="1"/>
    <d v="2020-02-20T00:00:00"/>
    <x v="1"/>
    <x v="3"/>
    <x v="3"/>
    <x v="0"/>
  </r>
  <r>
    <x v="5"/>
    <x v="0"/>
    <x v="1"/>
    <x v="1"/>
    <x v="2"/>
    <x v="4"/>
    <x v="1"/>
    <d v="2020-01-15T00:00:00"/>
    <x v="2"/>
    <x v="1"/>
    <x v="1"/>
    <x v="1"/>
  </r>
  <r>
    <x v="5"/>
    <x v="4"/>
    <x v="2"/>
    <x v="1"/>
    <x v="1"/>
    <x v="1"/>
    <x v="2"/>
    <d v="2019-12-01T00:00:00"/>
    <x v="4"/>
    <x v="4"/>
    <x v="4"/>
    <x v="0"/>
  </r>
  <r>
    <x v="5"/>
    <x v="3"/>
    <x v="4"/>
    <x v="1"/>
    <x v="0"/>
    <x v="1"/>
    <x v="1"/>
    <d v="2020-02-20T00:00:00"/>
    <x v="1"/>
    <x v="0"/>
    <x v="0"/>
    <x v="1"/>
  </r>
  <r>
    <x v="1"/>
    <x v="1"/>
    <x v="3"/>
    <x v="0"/>
    <x v="0"/>
    <x v="1"/>
    <x v="0"/>
    <d v="2018-04-05T00:00:00"/>
    <x v="0"/>
    <x v="4"/>
    <x v="4"/>
    <x v="0"/>
  </r>
  <r>
    <x v="2"/>
    <x v="5"/>
    <x v="5"/>
    <x v="1"/>
    <x v="4"/>
    <x v="2"/>
    <x v="1"/>
    <d v="2020-02-20T00:00:00"/>
    <x v="1"/>
    <x v="0"/>
    <x v="0"/>
    <x v="1"/>
  </r>
  <r>
    <x v="6"/>
    <x v="4"/>
    <x v="2"/>
    <x v="0"/>
    <x v="2"/>
    <x v="1"/>
    <x v="2"/>
    <d v="2019-03-25T00:00:00"/>
    <x v="3"/>
    <x v="4"/>
    <x v="4"/>
    <x v="0"/>
  </r>
  <r>
    <x v="2"/>
    <x v="5"/>
    <x v="3"/>
    <x v="0"/>
    <x v="0"/>
    <x v="1"/>
    <x v="1"/>
    <d v="2020-02-20T00:00:00"/>
    <x v="1"/>
    <x v="0"/>
    <x v="0"/>
    <x v="1"/>
  </r>
  <r>
    <x v="8"/>
    <x v="4"/>
    <x v="1"/>
    <x v="1"/>
    <x v="0"/>
    <x v="1"/>
    <x v="2"/>
    <d v="2019-03-25T00:00:00"/>
    <x v="3"/>
    <x v="2"/>
    <x v="2"/>
    <x v="0"/>
  </r>
  <r>
    <x v="2"/>
    <x v="1"/>
    <x v="4"/>
    <x v="1"/>
    <x v="1"/>
    <x v="0"/>
    <x v="1"/>
    <d v="2020-02-20T00:00:00"/>
    <x v="1"/>
    <x v="3"/>
    <x v="3"/>
    <x v="0"/>
  </r>
  <r>
    <x v="1"/>
    <x v="5"/>
    <x v="5"/>
    <x v="2"/>
    <x v="3"/>
    <x v="2"/>
    <x v="2"/>
    <d v="2019-03-25T00:00:00"/>
    <x v="3"/>
    <x v="2"/>
    <x v="2"/>
    <x v="0"/>
  </r>
  <r>
    <x v="8"/>
    <x v="2"/>
    <x v="2"/>
    <x v="2"/>
    <x v="4"/>
    <x v="4"/>
    <x v="0"/>
    <d v="2018-04-05T00:00:00"/>
    <x v="0"/>
    <x v="3"/>
    <x v="3"/>
    <x v="0"/>
  </r>
  <r>
    <x v="2"/>
    <x v="0"/>
    <x v="3"/>
    <x v="1"/>
    <x v="4"/>
    <x v="0"/>
    <x v="2"/>
    <d v="2019-12-01T00:00:00"/>
    <x v="4"/>
    <x v="2"/>
    <x v="2"/>
    <x v="0"/>
  </r>
  <r>
    <x v="1"/>
    <x v="2"/>
    <x v="3"/>
    <x v="0"/>
    <x v="3"/>
    <x v="3"/>
    <x v="2"/>
    <d v="2019-03-25T00:00:00"/>
    <x v="3"/>
    <x v="2"/>
    <x v="2"/>
    <x v="0"/>
  </r>
  <r>
    <x v="6"/>
    <x v="3"/>
    <x v="5"/>
    <x v="0"/>
    <x v="0"/>
    <x v="2"/>
    <x v="2"/>
    <d v="2019-03-25T00:00:00"/>
    <x v="3"/>
    <x v="4"/>
    <x v="4"/>
    <x v="0"/>
  </r>
  <r>
    <x v="2"/>
    <x v="1"/>
    <x v="1"/>
    <x v="0"/>
    <x v="1"/>
    <x v="2"/>
    <x v="0"/>
    <d v="2018-04-05T00:00:00"/>
    <x v="0"/>
    <x v="1"/>
    <x v="1"/>
    <x v="1"/>
  </r>
  <r>
    <x v="1"/>
    <x v="2"/>
    <x v="5"/>
    <x v="0"/>
    <x v="1"/>
    <x v="3"/>
    <x v="2"/>
    <d v="2019-03-25T00:00:00"/>
    <x v="3"/>
    <x v="0"/>
    <x v="0"/>
    <x v="1"/>
  </r>
  <r>
    <x v="5"/>
    <x v="4"/>
    <x v="3"/>
    <x v="0"/>
    <x v="4"/>
    <x v="3"/>
    <x v="1"/>
    <d v="2020-01-15T00:00:00"/>
    <x v="2"/>
    <x v="0"/>
    <x v="0"/>
    <x v="1"/>
  </r>
  <r>
    <x v="9"/>
    <x v="3"/>
    <x v="0"/>
    <x v="2"/>
    <x v="1"/>
    <x v="3"/>
    <x v="0"/>
    <d v="2018-04-05T00:00:00"/>
    <x v="0"/>
    <x v="0"/>
    <x v="0"/>
    <x v="1"/>
  </r>
  <r>
    <x v="5"/>
    <x v="3"/>
    <x v="2"/>
    <x v="1"/>
    <x v="3"/>
    <x v="4"/>
    <x v="1"/>
    <d v="2020-01-15T00:00:00"/>
    <x v="2"/>
    <x v="3"/>
    <x v="3"/>
    <x v="0"/>
  </r>
  <r>
    <x v="9"/>
    <x v="2"/>
    <x v="5"/>
    <x v="2"/>
    <x v="0"/>
    <x v="1"/>
    <x v="0"/>
    <d v="2018-04-05T00:00:00"/>
    <x v="0"/>
    <x v="0"/>
    <x v="0"/>
    <x v="1"/>
  </r>
  <r>
    <x v="7"/>
    <x v="2"/>
    <x v="3"/>
    <x v="0"/>
    <x v="3"/>
    <x v="2"/>
    <x v="2"/>
    <d v="2019-03-25T00:00:00"/>
    <x v="3"/>
    <x v="0"/>
    <x v="0"/>
    <x v="1"/>
  </r>
  <r>
    <x v="7"/>
    <x v="1"/>
    <x v="1"/>
    <x v="0"/>
    <x v="2"/>
    <x v="1"/>
    <x v="1"/>
    <d v="2020-01-15T00:00:00"/>
    <x v="2"/>
    <x v="4"/>
    <x v="4"/>
    <x v="0"/>
  </r>
  <r>
    <x v="7"/>
    <x v="0"/>
    <x v="3"/>
    <x v="0"/>
    <x v="4"/>
    <x v="1"/>
    <x v="2"/>
    <d v="2019-03-25T00:00:00"/>
    <x v="3"/>
    <x v="2"/>
    <x v="2"/>
    <x v="0"/>
  </r>
  <r>
    <x v="6"/>
    <x v="2"/>
    <x v="1"/>
    <x v="0"/>
    <x v="1"/>
    <x v="3"/>
    <x v="0"/>
    <d v="2018-04-05T00:00:00"/>
    <x v="0"/>
    <x v="0"/>
    <x v="0"/>
    <x v="1"/>
  </r>
  <r>
    <x v="5"/>
    <x v="2"/>
    <x v="5"/>
    <x v="1"/>
    <x v="2"/>
    <x v="4"/>
    <x v="2"/>
    <d v="2019-03-25T00:00:00"/>
    <x v="3"/>
    <x v="1"/>
    <x v="1"/>
    <x v="1"/>
  </r>
  <r>
    <x v="9"/>
    <x v="5"/>
    <x v="1"/>
    <x v="0"/>
    <x v="1"/>
    <x v="0"/>
    <x v="1"/>
    <d v="2020-01-15T00:00:00"/>
    <x v="2"/>
    <x v="0"/>
    <x v="0"/>
    <x v="1"/>
  </r>
  <r>
    <x v="1"/>
    <x v="4"/>
    <x v="4"/>
    <x v="1"/>
    <x v="0"/>
    <x v="4"/>
    <x v="1"/>
    <d v="2020-01-15T00:00:00"/>
    <x v="2"/>
    <x v="3"/>
    <x v="3"/>
    <x v="0"/>
  </r>
  <r>
    <x v="8"/>
    <x v="5"/>
    <x v="4"/>
    <x v="0"/>
    <x v="0"/>
    <x v="1"/>
    <x v="2"/>
    <d v="2019-03-25T00:00:00"/>
    <x v="3"/>
    <x v="3"/>
    <x v="3"/>
    <x v="0"/>
  </r>
  <r>
    <x v="1"/>
    <x v="5"/>
    <x v="4"/>
    <x v="1"/>
    <x v="0"/>
    <x v="4"/>
    <x v="1"/>
    <d v="2020-02-20T00:00:00"/>
    <x v="1"/>
    <x v="3"/>
    <x v="3"/>
    <x v="0"/>
  </r>
  <r>
    <x v="8"/>
    <x v="3"/>
    <x v="0"/>
    <x v="2"/>
    <x v="1"/>
    <x v="3"/>
    <x v="0"/>
    <d v="2018-04-05T00:00:00"/>
    <x v="0"/>
    <x v="0"/>
    <x v="0"/>
    <x v="1"/>
  </r>
  <r>
    <x v="3"/>
    <x v="0"/>
    <x v="5"/>
    <x v="0"/>
    <x v="2"/>
    <x v="0"/>
    <x v="0"/>
    <d v="2018-04-05T00:00:00"/>
    <x v="0"/>
    <x v="4"/>
    <x v="4"/>
    <x v="0"/>
  </r>
  <r>
    <x v="1"/>
    <x v="4"/>
    <x v="3"/>
    <x v="1"/>
    <x v="0"/>
    <x v="3"/>
    <x v="2"/>
    <d v="2019-03-25T00:00:00"/>
    <x v="3"/>
    <x v="1"/>
    <x v="1"/>
    <x v="1"/>
  </r>
  <r>
    <x v="2"/>
    <x v="1"/>
    <x v="3"/>
    <x v="2"/>
    <x v="2"/>
    <x v="0"/>
    <x v="1"/>
    <d v="2020-02-20T00:00:00"/>
    <x v="1"/>
    <x v="0"/>
    <x v="0"/>
    <x v="1"/>
  </r>
  <r>
    <x v="2"/>
    <x v="1"/>
    <x v="0"/>
    <x v="0"/>
    <x v="1"/>
    <x v="1"/>
    <x v="1"/>
    <d v="2020-01-15T00:00:00"/>
    <x v="2"/>
    <x v="4"/>
    <x v="4"/>
    <x v="0"/>
  </r>
  <r>
    <x v="0"/>
    <x v="2"/>
    <x v="1"/>
    <x v="0"/>
    <x v="2"/>
    <x v="0"/>
    <x v="2"/>
    <d v="2019-12-01T00:00:00"/>
    <x v="4"/>
    <x v="4"/>
    <x v="4"/>
    <x v="0"/>
  </r>
  <r>
    <x v="5"/>
    <x v="2"/>
    <x v="0"/>
    <x v="0"/>
    <x v="1"/>
    <x v="0"/>
    <x v="2"/>
    <d v="2019-12-01T00:00:00"/>
    <x v="4"/>
    <x v="0"/>
    <x v="0"/>
    <x v="1"/>
  </r>
  <r>
    <x v="8"/>
    <x v="1"/>
    <x v="1"/>
    <x v="1"/>
    <x v="1"/>
    <x v="0"/>
    <x v="2"/>
    <d v="2019-03-25T00:00:00"/>
    <x v="3"/>
    <x v="0"/>
    <x v="0"/>
    <x v="1"/>
  </r>
  <r>
    <x v="8"/>
    <x v="2"/>
    <x v="1"/>
    <x v="1"/>
    <x v="4"/>
    <x v="4"/>
    <x v="1"/>
    <d v="2020-02-20T00:00:00"/>
    <x v="1"/>
    <x v="4"/>
    <x v="4"/>
    <x v="0"/>
  </r>
  <r>
    <x v="5"/>
    <x v="0"/>
    <x v="2"/>
    <x v="2"/>
    <x v="1"/>
    <x v="4"/>
    <x v="1"/>
    <d v="2020-02-20T00:00:00"/>
    <x v="1"/>
    <x v="4"/>
    <x v="4"/>
    <x v="0"/>
  </r>
  <r>
    <x v="6"/>
    <x v="5"/>
    <x v="3"/>
    <x v="1"/>
    <x v="1"/>
    <x v="1"/>
    <x v="0"/>
    <d v="2018-04-05T00:00:00"/>
    <x v="0"/>
    <x v="4"/>
    <x v="4"/>
    <x v="0"/>
  </r>
  <r>
    <x v="0"/>
    <x v="2"/>
    <x v="4"/>
    <x v="1"/>
    <x v="3"/>
    <x v="0"/>
    <x v="1"/>
    <d v="2020-01-15T00:00:00"/>
    <x v="2"/>
    <x v="0"/>
    <x v="0"/>
    <x v="1"/>
  </r>
  <r>
    <x v="6"/>
    <x v="3"/>
    <x v="1"/>
    <x v="0"/>
    <x v="0"/>
    <x v="2"/>
    <x v="1"/>
    <d v="2020-02-20T00:00:00"/>
    <x v="1"/>
    <x v="4"/>
    <x v="4"/>
    <x v="0"/>
  </r>
  <r>
    <x v="6"/>
    <x v="2"/>
    <x v="2"/>
    <x v="0"/>
    <x v="4"/>
    <x v="1"/>
    <x v="2"/>
    <d v="2019-12-01T00:00:00"/>
    <x v="4"/>
    <x v="3"/>
    <x v="3"/>
    <x v="0"/>
  </r>
  <r>
    <x v="6"/>
    <x v="4"/>
    <x v="3"/>
    <x v="0"/>
    <x v="4"/>
    <x v="0"/>
    <x v="1"/>
    <d v="2020-01-15T00:00:00"/>
    <x v="2"/>
    <x v="0"/>
    <x v="0"/>
    <x v="1"/>
  </r>
  <r>
    <x v="5"/>
    <x v="0"/>
    <x v="4"/>
    <x v="0"/>
    <x v="4"/>
    <x v="0"/>
    <x v="1"/>
    <d v="2020-01-15T00:00:00"/>
    <x v="2"/>
    <x v="3"/>
    <x v="3"/>
    <x v="0"/>
  </r>
  <r>
    <x v="6"/>
    <x v="4"/>
    <x v="1"/>
    <x v="0"/>
    <x v="3"/>
    <x v="4"/>
    <x v="2"/>
    <d v="2019-03-25T00:00:00"/>
    <x v="3"/>
    <x v="2"/>
    <x v="2"/>
    <x v="0"/>
  </r>
  <r>
    <x v="2"/>
    <x v="4"/>
    <x v="1"/>
    <x v="0"/>
    <x v="1"/>
    <x v="1"/>
    <x v="1"/>
    <d v="2020-02-20T00:00:00"/>
    <x v="1"/>
    <x v="0"/>
    <x v="0"/>
    <x v="1"/>
  </r>
  <r>
    <x v="7"/>
    <x v="3"/>
    <x v="0"/>
    <x v="0"/>
    <x v="0"/>
    <x v="0"/>
    <x v="2"/>
    <d v="2019-03-25T00:00:00"/>
    <x v="3"/>
    <x v="2"/>
    <x v="2"/>
    <x v="0"/>
  </r>
  <r>
    <x v="3"/>
    <x v="0"/>
    <x v="0"/>
    <x v="2"/>
    <x v="2"/>
    <x v="0"/>
    <x v="1"/>
    <d v="2020-02-20T00:00:00"/>
    <x v="1"/>
    <x v="4"/>
    <x v="4"/>
    <x v="0"/>
  </r>
  <r>
    <x v="8"/>
    <x v="0"/>
    <x v="3"/>
    <x v="2"/>
    <x v="1"/>
    <x v="1"/>
    <x v="0"/>
    <d v="2018-04-05T00:00:00"/>
    <x v="0"/>
    <x v="4"/>
    <x v="4"/>
    <x v="0"/>
  </r>
  <r>
    <x v="8"/>
    <x v="0"/>
    <x v="4"/>
    <x v="2"/>
    <x v="3"/>
    <x v="2"/>
    <x v="2"/>
    <d v="2019-03-25T00:00:00"/>
    <x v="3"/>
    <x v="1"/>
    <x v="1"/>
    <x v="1"/>
  </r>
  <r>
    <x v="3"/>
    <x v="0"/>
    <x v="1"/>
    <x v="2"/>
    <x v="1"/>
    <x v="1"/>
    <x v="2"/>
    <d v="2019-03-25T00:00:00"/>
    <x v="3"/>
    <x v="4"/>
    <x v="4"/>
    <x v="0"/>
  </r>
  <r>
    <x v="5"/>
    <x v="0"/>
    <x v="3"/>
    <x v="0"/>
    <x v="1"/>
    <x v="1"/>
    <x v="2"/>
    <d v="2019-12-01T00:00:00"/>
    <x v="4"/>
    <x v="2"/>
    <x v="2"/>
    <x v="0"/>
  </r>
  <r>
    <x v="1"/>
    <x v="3"/>
    <x v="3"/>
    <x v="2"/>
    <x v="3"/>
    <x v="2"/>
    <x v="2"/>
    <d v="2019-03-25T00:00:00"/>
    <x v="3"/>
    <x v="4"/>
    <x v="4"/>
    <x v="0"/>
  </r>
  <r>
    <x v="5"/>
    <x v="2"/>
    <x v="5"/>
    <x v="0"/>
    <x v="4"/>
    <x v="1"/>
    <x v="1"/>
    <d v="2020-02-20T00:00:00"/>
    <x v="1"/>
    <x v="0"/>
    <x v="0"/>
    <x v="1"/>
  </r>
  <r>
    <x v="8"/>
    <x v="4"/>
    <x v="0"/>
    <x v="2"/>
    <x v="4"/>
    <x v="0"/>
    <x v="2"/>
    <d v="2019-12-01T00:00:00"/>
    <x v="4"/>
    <x v="4"/>
    <x v="4"/>
    <x v="0"/>
  </r>
  <r>
    <x v="8"/>
    <x v="0"/>
    <x v="4"/>
    <x v="1"/>
    <x v="0"/>
    <x v="1"/>
    <x v="2"/>
    <d v="2019-03-25T00:00:00"/>
    <x v="3"/>
    <x v="1"/>
    <x v="1"/>
    <x v="1"/>
  </r>
  <r>
    <x v="3"/>
    <x v="2"/>
    <x v="1"/>
    <x v="2"/>
    <x v="0"/>
    <x v="2"/>
    <x v="2"/>
    <d v="2019-03-25T00:00:00"/>
    <x v="3"/>
    <x v="4"/>
    <x v="4"/>
    <x v="0"/>
  </r>
  <r>
    <x v="6"/>
    <x v="2"/>
    <x v="3"/>
    <x v="2"/>
    <x v="4"/>
    <x v="3"/>
    <x v="0"/>
    <d v="2018-04-05T00:00:00"/>
    <x v="0"/>
    <x v="2"/>
    <x v="2"/>
    <x v="0"/>
  </r>
  <r>
    <x v="5"/>
    <x v="4"/>
    <x v="1"/>
    <x v="0"/>
    <x v="2"/>
    <x v="1"/>
    <x v="2"/>
    <d v="2019-03-25T00:00:00"/>
    <x v="3"/>
    <x v="2"/>
    <x v="2"/>
    <x v="0"/>
  </r>
  <r>
    <x v="9"/>
    <x v="3"/>
    <x v="5"/>
    <x v="2"/>
    <x v="1"/>
    <x v="4"/>
    <x v="1"/>
    <d v="2020-01-15T00:00:00"/>
    <x v="2"/>
    <x v="4"/>
    <x v="4"/>
    <x v="0"/>
  </r>
  <r>
    <x v="3"/>
    <x v="1"/>
    <x v="4"/>
    <x v="1"/>
    <x v="2"/>
    <x v="0"/>
    <x v="2"/>
    <d v="2019-12-01T00:00:00"/>
    <x v="4"/>
    <x v="2"/>
    <x v="2"/>
    <x v="0"/>
  </r>
  <r>
    <x v="2"/>
    <x v="1"/>
    <x v="3"/>
    <x v="0"/>
    <x v="1"/>
    <x v="0"/>
    <x v="1"/>
    <d v="2020-01-15T00:00:00"/>
    <x v="2"/>
    <x v="2"/>
    <x v="2"/>
    <x v="0"/>
  </r>
  <r>
    <x v="8"/>
    <x v="2"/>
    <x v="1"/>
    <x v="0"/>
    <x v="4"/>
    <x v="4"/>
    <x v="2"/>
    <d v="2019-12-01T00:00:00"/>
    <x v="4"/>
    <x v="1"/>
    <x v="1"/>
    <x v="1"/>
  </r>
  <r>
    <x v="3"/>
    <x v="5"/>
    <x v="0"/>
    <x v="2"/>
    <x v="0"/>
    <x v="4"/>
    <x v="0"/>
    <d v="2018-04-05T00:00:00"/>
    <x v="0"/>
    <x v="0"/>
    <x v="0"/>
    <x v="1"/>
  </r>
  <r>
    <x v="5"/>
    <x v="5"/>
    <x v="5"/>
    <x v="0"/>
    <x v="0"/>
    <x v="1"/>
    <x v="2"/>
    <d v="2019-03-25T00:00:00"/>
    <x v="3"/>
    <x v="1"/>
    <x v="1"/>
    <x v="1"/>
  </r>
  <r>
    <x v="8"/>
    <x v="4"/>
    <x v="4"/>
    <x v="0"/>
    <x v="2"/>
    <x v="4"/>
    <x v="2"/>
    <d v="2019-03-25T00:00:00"/>
    <x v="3"/>
    <x v="3"/>
    <x v="3"/>
    <x v="0"/>
  </r>
  <r>
    <x v="1"/>
    <x v="1"/>
    <x v="5"/>
    <x v="0"/>
    <x v="0"/>
    <x v="3"/>
    <x v="2"/>
    <d v="2019-03-25T00:00:00"/>
    <x v="3"/>
    <x v="1"/>
    <x v="1"/>
    <x v="1"/>
  </r>
  <r>
    <x v="3"/>
    <x v="2"/>
    <x v="0"/>
    <x v="0"/>
    <x v="4"/>
    <x v="2"/>
    <x v="2"/>
    <d v="2019-12-01T00:00:00"/>
    <x v="4"/>
    <x v="4"/>
    <x v="4"/>
    <x v="0"/>
  </r>
  <r>
    <x v="0"/>
    <x v="3"/>
    <x v="4"/>
    <x v="0"/>
    <x v="2"/>
    <x v="4"/>
    <x v="2"/>
    <d v="2019-03-25T00:00:00"/>
    <x v="3"/>
    <x v="0"/>
    <x v="0"/>
    <x v="1"/>
  </r>
  <r>
    <x v="8"/>
    <x v="1"/>
    <x v="5"/>
    <x v="0"/>
    <x v="1"/>
    <x v="4"/>
    <x v="1"/>
    <d v="2020-01-15T00:00:00"/>
    <x v="2"/>
    <x v="4"/>
    <x v="4"/>
    <x v="0"/>
  </r>
  <r>
    <x v="5"/>
    <x v="2"/>
    <x v="2"/>
    <x v="1"/>
    <x v="0"/>
    <x v="3"/>
    <x v="2"/>
    <d v="2019-03-25T00:00:00"/>
    <x v="3"/>
    <x v="3"/>
    <x v="3"/>
    <x v="0"/>
  </r>
  <r>
    <x v="7"/>
    <x v="2"/>
    <x v="0"/>
    <x v="2"/>
    <x v="3"/>
    <x v="0"/>
    <x v="0"/>
    <d v="2018-04-05T00:00:00"/>
    <x v="0"/>
    <x v="0"/>
    <x v="0"/>
    <x v="1"/>
  </r>
  <r>
    <x v="9"/>
    <x v="0"/>
    <x v="0"/>
    <x v="1"/>
    <x v="0"/>
    <x v="0"/>
    <x v="1"/>
    <d v="2020-01-15T00:00:00"/>
    <x v="2"/>
    <x v="2"/>
    <x v="2"/>
    <x v="0"/>
  </r>
  <r>
    <x v="4"/>
    <x v="3"/>
    <x v="0"/>
    <x v="0"/>
    <x v="1"/>
    <x v="1"/>
    <x v="2"/>
    <d v="2019-03-25T00:00:00"/>
    <x v="3"/>
    <x v="1"/>
    <x v="1"/>
    <x v="1"/>
  </r>
  <r>
    <x v="6"/>
    <x v="0"/>
    <x v="2"/>
    <x v="0"/>
    <x v="2"/>
    <x v="3"/>
    <x v="2"/>
    <d v="2019-03-25T00:00:00"/>
    <x v="3"/>
    <x v="4"/>
    <x v="4"/>
    <x v="0"/>
  </r>
  <r>
    <x v="4"/>
    <x v="4"/>
    <x v="2"/>
    <x v="2"/>
    <x v="1"/>
    <x v="2"/>
    <x v="1"/>
    <d v="2020-02-20T00:00:00"/>
    <x v="1"/>
    <x v="3"/>
    <x v="3"/>
    <x v="0"/>
  </r>
  <r>
    <x v="5"/>
    <x v="0"/>
    <x v="1"/>
    <x v="1"/>
    <x v="3"/>
    <x v="2"/>
    <x v="2"/>
    <d v="2019-12-01T00:00:00"/>
    <x v="4"/>
    <x v="2"/>
    <x v="2"/>
    <x v="0"/>
  </r>
  <r>
    <x v="2"/>
    <x v="0"/>
    <x v="3"/>
    <x v="2"/>
    <x v="4"/>
    <x v="3"/>
    <x v="1"/>
    <d v="2020-01-15T00:00:00"/>
    <x v="2"/>
    <x v="1"/>
    <x v="1"/>
    <x v="1"/>
  </r>
  <r>
    <x v="2"/>
    <x v="1"/>
    <x v="5"/>
    <x v="1"/>
    <x v="0"/>
    <x v="2"/>
    <x v="1"/>
    <d v="2020-02-20T00:00:00"/>
    <x v="1"/>
    <x v="2"/>
    <x v="2"/>
    <x v="0"/>
  </r>
  <r>
    <x v="7"/>
    <x v="5"/>
    <x v="1"/>
    <x v="0"/>
    <x v="2"/>
    <x v="0"/>
    <x v="0"/>
    <d v="2018-04-05T00:00:00"/>
    <x v="0"/>
    <x v="1"/>
    <x v="1"/>
    <x v="1"/>
  </r>
  <r>
    <x v="6"/>
    <x v="2"/>
    <x v="5"/>
    <x v="2"/>
    <x v="4"/>
    <x v="2"/>
    <x v="2"/>
    <d v="2019-12-01T00:00:00"/>
    <x v="4"/>
    <x v="0"/>
    <x v="0"/>
    <x v="1"/>
  </r>
  <r>
    <x v="0"/>
    <x v="3"/>
    <x v="3"/>
    <x v="2"/>
    <x v="1"/>
    <x v="2"/>
    <x v="1"/>
    <d v="2020-01-15T00:00:00"/>
    <x v="2"/>
    <x v="2"/>
    <x v="2"/>
    <x v="0"/>
  </r>
  <r>
    <x v="7"/>
    <x v="0"/>
    <x v="2"/>
    <x v="0"/>
    <x v="2"/>
    <x v="3"/>
    <x v="2"/>
    <d v="2019-03-25T00:00:00"/>
    <x v="3"/>
    <x v="2"/>
    <x v="2"/>
    <x v="0"/>
  </r>
  <r>
    <x v="4"/>
    <x v="3"/>
    <x v="3"/>
    <x v="2"/>
    <x v="4"/>
    <x v="3"/>
    <x v="1"/>
    <d v="2020-01-15T00:00:00"/>
    <x v="2"/>
    <x v="2"/>
    <x v="2"/>
    <x v="0"/>
  </r>
  <r>
    <x v="7"/>
    <x v="5"/>
    <x v="2"/>
    <x v="1"/>
    <x v="2"/>
    <x v="2"/>
    <x v="2"/>
    <d v="2019-03-25T00:00:00"/>
    <x v="3"/>
    <x v="0"/>
    <x v="0"/>
    <x v="1"/>
  </r>
  <r>
    <x v="4"/>
    <x v="5"/>
    <x v="3"/>
    <x v="1"/>
    <x v="3"/>
    <x v="4"/>
    <x v="2"/>
    <d v="2019-12-01T00:00:00"/>
    <x v="4"/>
    <x v="3"/>
    <x v="3"/>
    <x v="0"/>
  </r>
  <r>
    <x v="8"/>
    <x v="0"/>
    <x v="1"/>
    <x v="1"/>
    <x v="3"/>
    <x v="3"/>
    <x v="2"/>
    <d v="2019-03-25T00:00:00"/>
    <x v="3"/>
    <x v="1"/>
    <x v="1"/>
    <x v="1"/>
  </r>
  <r>
    <x v="2"/>
    <x v="4"/>
    <x v="4"/>
    <x v="1"/>
    <x v="0"/>
    <x v="1"/>
    <x v="0"/>
    <d v="2018-04-05T00:00:00"/>
    <x v="0"/>
    <x v="2"/>
    <x v="2"/>
    <x v="0"/>
  </r>
  <r>
    <x v="8"/>
    <x v="0"/>
    <x v="1"/>
    <x v="0"/>
    <x v="0"/>
    <x v="1"/>
    <x v="2"/>
    <d v="2019-03-25T00:00:00"/>
    <x v="3"/>
    <x v="0"/>
    <x v="0"/>
    <x v="1"/>
  </r>
  <r>
    <x v="9"/>
    <x v="1"/>
    <x v="5"/>
    <x v="2"/>
    <x v="3"/>
    <x v="0"/>
    <x v="0"/>
    <d v="2018-04-05T00:00:00"/>
    <x v="0"/>
    <x v="3"/>
    <x v="3"/>
    <x v="0"/>
  </r>
  <r>
    <x v="6"/>
    <x v="2"/>
    <x v="1"/>
    <x v="1"/>
    <x v="2"/>
    <x v="2"/>
    <x v="2"/>
    <d v="2019-12-01T00:00:00"/>
    <x v="4"/>
    <x v="1"/>
    <x v="1"/>
    <x v="1"/>
  </r>
  <r>
    <x v="0"/>
    <x v="4"/>
    <x v="0"/>
    <x v="0"/>
    <x v="3"/>
    <x v="4"/>
    <x v="2"/>
    <d v="2019-12-01T00:00:00"/>
    <x v="4"/>
    <x v="0"/>
    <x v="0"/>
    <x v="1"/>
  </r>
  <r>
    <x v="4"/>
    <x v="0"/>
    <x v="5"/>
    <x v="2"/>
    <x v="0"/>
    <x v="0"/>
    <x v="1"/>
    <d v="2020-01-15T00:00:00"/>
    <x v="2"/>
    <x v="1"/>
    <x v="1"/>
    <x v="1"/>
  </r>
  <r>
    <x v="0"/>
    <x v="3"/>
    <x v="3"/>
    <x v="2"/>
    <x v="3"/>
    <x v="2"/>
    <x v="0"/>
    <d v="2018-04-05T00:00:00"/>
    <x v="0"/>
    <x v="2"/>
    <x v="2"/>
    <x v="0"/>
  </r>
  <r>
    <x v="4"/>
    <x v="4"/>
    <x v="5"/>
    <x v="0"/>
    <x v="3"/>
    <x v="3"/>
    <x v="0"/>
    <d v="2018-04-05T00:00:00"/>
    <x v="0"/>
    <x v="3"/>
    <x v="3"/>
    <x v="0"/>
  </r>
  <r>
    <x v="5"/>
    <x v="4"/>
    <x v="4"/>
    <x v="0"/>
    <x v="2"/>
    <x v="1"/>
    <x v="1"/>
    <d v="2020-02-20T00:00:00"/>
    <x v="1"/>
    <x v="0"/>
    <x v="0"/>
    <x v="1"/>
  </r>
  <r>
    <x v="7"/>
    <x v="0"/>
    <x v="2"/>
    <x v="1"/>
    <x v="4"/>
    <x v="4"/>
    <x v="1"/>
    <d v="2020-02-20T00:00:00"/>
    <x v="1"/>
    <x v="3"/>
    <x v="3"/>
    <x v="0"/>
  </r>
  <r>
    <x v="9"/>
    <x v="4"/>
    <x v="3"/>
    <x v="2"/>
    <x v="0"/>
    <x v="1"/>
    <x v="1"/>
    <d v="2020-02-20T00:00:00"/>
    <x v="1"/>
    <x v="2"/>
    <x v="2"/>
    <x v="0"/>
  </r>
  <r>
    <x v="2"/>
    <x v="3"/>
    <x v="5"/>
    <x v="2"/>
    <x v="2"/>
    <x v="3"/>
    <x v="2"/>
    <d v="2019-03-25T00:00:00"/>
    <x v="3"/>
    <x v="3"/>
    <x v="3"/>
    <x v="0"/>
  </r>
  <r>
    <x v="4"/>
    <x v="5"/>
    <x v="3"/>
    <x v="0"/>
    <x v="3"/>
    <x v="2"/>
    <x v="1"/>
    <d v="2020-02-20T00:00:00"/>
    <x v="1"/>
    <x v="3"/>
    <x v="3"/>
    <x v="0"/>
  </r>
  <r>
    <x v="0"/>
    <x v="4"/>
    <x v="3"/>
    <x v="2"/>
    <x v="3"/>
    <x v="3"/>
    <x v="0"/>
    <d v="2018-04-05T00:00:00"/>
    <x v="0"/>
    <x v="4"/>
    <x v="4"/>
    <x v="0"/>
  </r>
  <r>
    <x v="9"/>
    <x v="5"/>
    <x v="3"/>
    <x v="1"/>
    <x v="4"/>
    <x v="3"/>
    <x v="2"/>
    <d v="2019-03-25T00:00:00"/>
    <x v="3"/>
    <x v="3"/>
    <x v="3"/>
    <x v="0"/>
  </r>
  <r>
    <x v="1"/>
    <x v="3"/>
    <x v="2"/>
    <x v="2"/>
    <x v="0"/>
    <x v="1"/>
    <x v="2"/>
    <d v="2019-12-01T00:00:00"/>
    <x v="4"/>
    <x v="1"/>
    <x v="1"/>
    <x v="1"/>
  </r>
  <r>
    <x v="1"/>
    <x v="0"/>
    <x v="1"/>
    <x v="0"/>
    <x v="0"/>
    <x v="4"/>
    <x v="1"/>
    <d v="2020-01-15T00:00:00"/>
    <x v="2"/>
    <x v="0"/>
    <x v="0"/>
    <x v="1"/>
  </r>
  <r>
    <x v="8"/>
    <x v="2"/>
    <x v="3"/>
    <x v="0"/>
    <x v="1"/>
    <x v="3"/>
    <x v="1"/>
    <d v="2020-02-20T00:00:00"/>
    <x v="1"/>
    <x v="4"/>
    <x v="4"/>
    <x v="0"/>
  </r>
  <r>
    <x v="2"/>
    <x v="4"/>
    <x v="0"/>
    <x v="1"/>
    <x v="0"/>
    <x v="1"/>
    <x v="2"/>
    <d v="2019-12-01T00:00:00"/>
    <x v="4"/>
    <x v="0"/>
    <x v="0"/>
    <x v="1"/>
  </r>
  <r>
    <x v="5"/>
    <x v="2"/>
    <x v="4"/>
    <x v="1"/>
    <x v="4"/>
    <x v="4"/>
    <x v="0"/>
    <d v="2018-04-05T00:00:00"/>
    <x v="0"/>
    <x v="0"/>
    <x v="0"/>
    <x v="1"/>
  </r>
  <r>
    <x v="0"/>
    <x v="3"/>
    <x v="2"/>
    <x v="2"/>
    <x v="1"/>
    <x v="2"/>
    <x v="1"/>
    <d v="2020-01-15T00:00:00"/>
    <x v="2"/>
    <x v="2"/>
    <x v="2"/>
    <x v="0"/>
  </r>
  <r>
    <x v="7"/>
    <x v="4"/>
    <x v="5"/>
    <x v="2"/>
    <x v="1"/>
    <x v="2"/>
    <x v="2"/>
    <d v="2019-12-01T00:00:00"/>
    <x v="4"/>
    <x v="2"/>
    <x v="2"/>
    <x v="0"/>
  </r>
  <r>
    <x v="7"/>
    <x v="5"/>
    <x v="2"/>
    <x v="0"/>
    <x v="3"/>
    <x v="0"/>
    <x v="1"/>
    <d v="2020-01-15T00:00:00"/>
    <x v="2"/>
    <x v="4"/>
    <x v="4"/>
    <x v="0"/>
  </r>
  <r>
    <x v="0"/>
    <x v="1"/>
    <x v="5"/>
    <x v="1"/>
    <x v="3"/>
    <x v="1"/>
    <x v="1"/>
    <d v="2020-02-20T00:00:00"/>
    <x v="1"/>
    <x v="2"/>
    <x v="2"/>
    <x v="0"/>
  </r>
  <r>
    <x v="6"/>
    <x v="2"/>
    <x v="2"/>
    <x v="1"/>
    <x v="0"/>
    <x v="4"/>
    <x v="0"/>
    <d v="2018-04-05T00:00:00"/>
    <x v="0"/>
    <x v="2"/>
    <x v="2"/>
    <x v="0"/>
  </r>
  <r>
    <x v="5"/>
    <x v="4"/>
    <x v="5"/>
    <x v="1"/>
    <x v="1"/>
    <x v="3"/>
    <x v="1"/>
    <d v="2020-01-15T00:00:00"/>
    <x v="2"/>
    <x v="2"/>
    <x v="2"/>
    <x v="0"/>
  </r>
  <r>
    <x v="9"/>
    <x v="2"/>
    <x v="3"/>
    <x v="2"/>
    <x v="3"/>
    <x v="2"/>
    <x v="2"/>
    <d v="2019-12-01T00:00:00"/>
    <x v="4"/>
    <x v="0"/>
    <x v="0"/>
    <x v="1"/>
  </r>
  <r>
    <x v="4"/>
    <x v="4"/>
    <x v="1"/>
    <x v="1"/>
    <x v="4"/>
    <x v="4"/>
    <x v="1"/>
    <d v="2020-02-20T00:00:00"/>
    <x v="1"/>
    <x v="4"/>
    <x v="4"/>
    <x v="0"/>
  </r>
  <r>
    <x v="6"/>
    <x v="0"/>
    <x v="5"/>
    <x v="0"/>
    <x v="3"/>
    <x v="1"/>
    <x v="1"/>
    <d v="2020-02-20T00:00:00"/>
    <x v="1"/>
    <x v="0"/>
    <x v="0"/>
    <x v="1"/>
  </r>
  <r>
    <x v="4"/>
    <x v="5"/>
    <x v="5"/>
    <x v="0"/>
    <x v="3"/>
    <x v="0"/>
    <x v="2"/>
    <d v="2019-12-01T00:00:00"/>
    <x v="4"/>
    <x v="1"/>
    <x v="1"/>
    <x v="1"/>
  </r>
  <r>
    <x v="4"/>
    <x v="2"/>
    <x v="0"/>
    <x v="2"/>
    <x v="1"/>
    <x v="2"/>
    <x v="2"/>
    <d v="2019-12-01T00:00:00"/>
    <x v="4"/>
    <x v="0"/>
    <x v="0"/>
    <x v="1"/>
  </r>
  <r>
    <x v="6"/>
    <x v="1"/>
    <x v="5"/>
    <x v="2"/>
    <x v="1"/>
    <x v="4"/>
    <x v="1"/>
    <d v="2020-01-15T00:00:00"/>
    <x v="2"/>
    <x v="1"/>
    <x v="1"/>
    <x v="1"/>
  </r>
  <r>
    <x v="8"/>
    <x v="1"/>
    <x v="0"/>
    <x v="1"/>
    <x v="2"/>
    <x v="4"/>
    <x v="2"/>
    <d v="2019-03-25T00:00:00"/>
    <x v="3"/>
    <x v="3"/>
    <x v="3"/>
    <x v="0"/>
  </r>
  <r>
    <x v="1"/>
    <x v="3"/>
    <x v="4"/>
    <x v="2"/>
    <x v="4"/>
    <x v="4"/>
    <x v="1"/>
    <d v="2020-02-20T00:00:00"/>
    <x v="1"/>
    <x v="3"/>
    <x v="3"/>
    <x v="0"/>
  </r>
  <r>
    <x v="4"/>
    <x v="4"/>
    <x v="3"/>
    <x v="0"/>
    <x v="1"/>
    <x v="1"/>
    <x v="1"/>
    <d v="2020-01-15T00:00:00"/>
    <x v="2"/>
    <x v="1"/>
    <x v="1"/>
    <x v="1"/>
  </r>
  <r>
    <x v="6"/>
    <x v="2"/>
    <x v="0"/>
    <x v="1"/>
    <x v="0"/>
    <x v="1"/>
    <x v="2"/>
    <d v="2019-12-01T00:00:00"/>
    <x v="4"/>
    <x v="1"/>
    <x v="1"/>
    <x v="1"/>
  </r>
  <r>
    <x v="6"/>
    <x v="3"/>
    <x v="1"/>
    <x v="0"/>
    <x v="4"/>
    <x v="1"/>
    <x v="1"/>
    <d v="2020-01-15T00:00:00"/>
    <x v="2"/>
    <x v="0"/>
    <x v="0"/>
    <x v="1"/>
  </r>
  <r>
    <x v="3"/>
    <x v="2"/>
    <x v="3"/>
    <x v="1"/>
    <x v="4"/>
    <x v="3"/>
    <x v="2"/>
    <d v="2019-12-01T00:00:00"/>
    <x v="4"/>
    <x v="1"/>
    <x v="1"/>
    <x v="1"/>
  </r>
  <r>
    <x v="8"/>
    <x v="4"/>
    <x v="0"/>
    <x v="2"/>
    <x v="1"/>
    <x v="4"/>
    <x v="0"/>
    <d v="2018-04-05T00:00:00"/>
    <x v="0"/>
    <x v="4"/>
    <x v="4"/>
    <x v="0"/>
  </r>
  <r>
    <x v="2"/>
    <x v="1"/>
    <x v="3"/>
    <x v="1"/>
    <x v="4"/>
    <x v="2"/>
    <x v="2"/>
    <d v="2019-12-01T00:00:00"/>
    <x v="4"/>
    <x v="3"/>
    <x v="3"/>
    <x v="0"/>
  </r>
  <r>
    <x v="3"/>
    <x v="0"/>
    <x v="3"/>
    <x v="1"/>
    <x v="1"/>
    <x v="1"/>
    <x v="2"/>
    <d v="2019-12-01T00:00:00"/>
    <x v="4"/>
    <x v="3"/>
    <x v="3"/>
    <x v="0"/>
  </r>
  <r>
    <x v="3"/>
    <x v="1"/>
    <x v="3"/>
    <x v="0"/>
    <x v="3"/>
    <x v="1"/>
    <x v="2"/>
    <d v="2019-12-01T00:00:00"/>
    <x v="4"/>
    <x v="1"/>
    <x v="1"/>
    <x v="1"/>
  </r>
  <r>
    <x v="0"/>
    <x v="3"/>
    <x v="4"/>
    <x v="0"/>
    <x v="2"/>
    <x v="4"/>
    <x v="2"/>
    <d v="2019-03-25T00:00:00"/>
    <x v="3"/>
    <x v="2"/>
    <x v="2"/>
    <x v="0"/>
  </r>
  <r>
    <x v="1"/>
    <x v="5"/>
    <x v="1"/>
    <x v="1"/>
    <x v="3"/>
    <x v="1"/>
    <x v="2"/>
    <d v="2019-12-01T00:00:00"/>
    <x v="4"/>
    <x v="2"/>
    <x v="2"/>
    <x v="0"/>
  </r>
  <r>
    <x v="6"/>
    <x v="0"/>
    <x v="2"/>
    <x v="2"/>
    <x v="1"/>
    <x v="3"/>
    <x v="1"/>
    <d v="2020-02-20T00:00:00"/>
    <x v="1"/>
    <x v="1"/>
    <x v="1"/>
    <x v="1"/>
  </r>
  <r>
    <x v="1"/>
    <x v="3"/>
    <x v="2"/>
    <x v="2"/>
    <x v="1"/>
    <x v="3"/>
    <x v="1"/>
    <d v="2020-02-20T00:00:00"/>
    <x v="1"/>
    <x v="4"/>
    <x v="4"/>
    <x v="0"/>
  </r>
  <r>
    <x v="5"/>
    <x v="4"/>
    <x v="0"/>
    <x v="0"/>
    <x v="3"/>
    <x v="1"/>
    <x v="1"/>
    <d v="2020-01-15T00:00:00"/>
    <x v="2"/>
    <x v="2"/>
    <x v="2"/>
    <x v="0"/>
  </r>
  <r>
    <x v="0"/>
    <x v="0"/>
    <x v="3"/>
    <x v="2"/>
    <x v="0"/>
    <x v="4"/>
    <x v="2"/>
    <d v="2019-03-25T00:00:00"/>
    <x v="3"/>
    <x v="1"/>
    <x v="1"/>
    <x v="1"/>
  </r>
  <r>
    <x v="2"/>
    <x v="3"/>
    <x v="0"/>
    <x v="0"/>
    <x v="0"/>
    <x v="4"/>
    <x v="1"/>
    <d v="2020-01-15T00:00:00"/>
    <x v="2"/>
    <x v="4"/>
    <x v="4"/>
    <x v="0"/>
  </r>
  <r>
    <x v="1"/>
    <x v="4"/>
    <x v="4"/>
    <x v="2"/>
    <x v="0"/>
    <x v="4"/>
    <x v="1"/>
    <d v="2020-02-20T00:00:00"/>
    <x v="1"/>
    <x v="4"/>
    <x v="4"/>
    <x v="0"/>
  </r>
  <r>
    <x v="7"/>
    <x v="1"/>
    <x v="4"/>
    <x v="1"/>
    <x v="1"/>
    <x v="0"/>
    <x v="1"/>
    <d v="2020-02-20T00:00:00"/>
    <x v="1"/>
    <x v="0"/>
    <x v="0"/>
    <x v="1"/>
  </r>
  <r>
    <x v="4"/>
    <x v="5"/>
    <x v="5"/>
    <x v="0"/>
    <x v="4"/>
    <x v="1"/>
    <x v="0"/>
    <d v="2018-04-05T00:00:00"/>
    <x v="0"/>
    <x v="4"/>
    <x v="4"/>
    <x v="0"/>
  </r>
  <r>
    <x v="5"/>
    <x v="4"/>
    <x v="4"/>
    <x v="0"/>
    <x v="1"/>
    <x v="4"/>
    <x v="2"/>
    <d v="2019-12-01T00:00:00"/>
    <x v="4"/>
    <x v="2"/>
    <x v="2"/>
    <x v="0"/>
  </r>
  <r>
    <x v="8"/>
    <x v="2"/>
    <x v="5"/>
    <x v="1"/>
    <x v="4"/>
    <x v="3"/>
    <x v="1"/>
    <d v="2020-02-20T00:00:00"/>
    <x v="1"/>
    <x v="2"/>
    <x v="2"/>
    <x v="0"/>
  </r>
  <r>
    <x v="2"/>
    <x v="4"/>
    <x v="1"/>
    <x v="0"/>
    <x v="3"/>
    <x v="2"/>
    <x v="1"/>
    <d v="2020-01-15T00:00:00"/>
    <x v="2"/>
    <x v="1"/>
    <x v="1"/>
    <x v="1"/>
  </r>
  <r>
    <x v="5"/>
    <x v="4"/>
    <x v="0"/>
    <x v="2"/>
    <x v="2"/>
    <x v="2"/>
    <x v="1"/>
    <d v="2020-01-15T00:00:00"/>
    <x v="2"/>
    <x v="1"/>
    <x v="1"/>
    <x v="1"/>
  </r>
  <r>
    <x v="4"/>
    <x v="5"/>
    <x v="1"/>
    <x v="2"/>
    <x v="4"/>
    <x v="4"/>
    <x v="2"/>
    <d v="2019-12-01T00:00:00"/>
    <x v="4"/>
    <x v="4"/>
    <x v="4"/>
    <x v="0"/>
  </r>
  <r>
    <x v="0"/>
    <x v="2"/>
    <x v="4"/>
    <x v="0"/>
    <x v="0"/>
    <x v="2"/>
    <x v="2"/>
    <d v="2019-12-01T00:00:00"/>
    <x v="4"/>
    <x v="3"/>
    <x v="3"/>
    <x v="0"/>
  </r>
  <r>
    <x v="4"/>
    <x v="3"/>
    <x v="1"/>
    <x v="2"/>
    <x v="1"/>
    <x v="2"/>
    <x v="0"/>
    <d v="2018-04-05T00:00:00"/>
    <x v="0"/>
    <x v="0"/>
    <x v="0"/>
    <x v="1"/>
  </r>
  <r>
    <x v="3"/>
    <x v="3"/>
    <x v="1"/>
    <x v="0"/>
    <x v="3"/>
    <x v="0"/>
    <x v="2"/>
    <d v="2019-03-25T00:00:00"/>
    <x v="3"/>
    <x v="3"/>
    <x v="3"/>
    <x v="0"/>
  </r>
  <r>
    <x v="4"/>
    <x v="4"/>
    <x v="1"/>
    <x v="1"/>
    <x v="0"/>
    <x v="3"/>
    <x v="1"/>
    <d v="2020-01-15T00:00:00"/>
    <x v="2"/>
    <x v="4"/>
    <x v="4"/>
    <x v="0"/>
  </r>
  <r>
    <x v="3"/>
    <x v="2"/>
    <x v="4"/>
    <x v="0"/>
    <x v="3"/>
    <x v="3"/>
    <x v="2"/>
    <d v="2019-12-01T00:00:00"/>
    <x v="4"/>
    <x v="4"/>
    <x v="4"/>
    <x v="0"/>
  </r>
  <r>
    <x v="0"/>
    <x v="2"/>
    <x v="3"/>
    <x v="1"/>
    <x v="2"/>
    <x v="0"/>
    <x v="1"/>
    <d v="2020-01-15T00:00:00"/>
    <x v="2"/>
    <x v="3"/>
    <x v="3"/>
    <x v="0"/>
  </r>
  <r>
    <x v="9"/>
    <x v="5"/>
    <x v="1"/>
    <x v="2"/>
    <x v="1"/>
    <x v="0"/>
    <x v="2"/>
    <d v="2019-12-01T00:00:00"/>
    <x v="4"/>
    <x v="0"/>
    <x v="0"/>
    <x v="1"/>
  </r>
  <r>
    <x v="3"/>
    <x v="1"/>
    <x v="5"/>
    <x v="1"/>
    <x v="1"/>
    <x v="2"/>
    <x v="1"/>
    <d v="2020-02-20T00:00:00"/>
    <x v="1"/>
    <x v="3"/>
    <x v="3"/>
    <x v="0"/>
  </r>
  <r>
    <x v="8"/>
    <x v="3"/>
    <x v="4"/>
    <x v="2"/>
    <x v="2"/>
    <x v="1"/>
    <x v="1"/>
    <d v="2020-01-15T00:00:00"/>
    <x v="2"/>
    <x v="1"/>
    <x v="1"/>
    <x v="1"/>
  </r>
  <r>
    <x v="4"/>
    <x v="5"/>
    <x v="1"/>
    <x v="0"/>
    <x v="1"/>
    <x v="2"/>
    <x v="1"/>
    <d v="2020-02-20T00:00:00"/>
    <x v="1"/>
    <x v="2"/>
    <x v="2"/>
    <x v="0"/>
  </r>
  <r>
    <x v="4"/>
    <x v="0"/>
    <x v="3"/>
    <x v="2"/>
    <x v="4"/>
    <x v="0"/>
    <x v="1"/>
    <d v="2020-01-15T00:00:00"/>
    <x v="2"/>
    <x v="1"/>
    <x v="1"/>
    <x v="1"/>
  </r>
  <r>
    <x v="8"/>
    <x v="3"/>
    <x v="4"/>
    <x v="0"/>
    <x v="3"/>
    <x v="3"/>
    <x v="2"/>
    <d v="2019-03-25T00:00:00"/>
    <x v="3"/>
    <x v="2"/>
    <x v="2"/>
    <x v="0"/>
  </r>
  <r>
    <x v="7"/>
    <x v="5"/>
    <x v="2"/>
    <x v="0"/>
    <x v="0"/>
    <x v="2"/>
    <x v="0"/>
    <d v="2018-04-05T00:00:00"/>
    <x v="0"/>
    <x v="4"/>
    <x v="4"/>
    <x v="0"/>
  </r>
  <r>
    <x v="6"/>
    <x v="3"/>
    <x v="3"/>
    <x v="1"/>
    <x v="2"/>
    <x v="1"/>
    <x v="1"/>
    <d v="2020-02-20T00:00:00"/>
    <x v="1"/>
    <x v="0"/>
    <x v="0"/>
    <x v="1"/>
  </r>
  <r>
    <x v="9"/>
    <x v="1"/>
    <x v="5"/>
    <x v="1"/>
    <x v="4"/>
    <x v="2"/>
    <x v="2"/>
    <d v="2019-12-01T00:00:00"/>
    <x v="4"/>
    <x v="3"/>
    <x v="3"/>
    <x v="0"/>
  </r>
  <r>
    <x v="2"/>
    <x v="0"/>
    <x v="1"/>
    <x v="1"/>
    <x v="0"/>
    <x v="4"/>
    <x v="2"/>
    <d v="2019-03-25T00:00:00"/>
    <x v="3"/>
    <x v="0"/>
    <x v="0"/>
    <x v="1"/>
  </r>
  <r>
    <x v="3"/>
    <x v="1"/>
    <x v="2"/>
    <x v="1"/>
    <x v="0"/>
    <x v="2"/>
    <x v="1"/>
    <d v="2020-01-15T00:00:00"/>
    <x v="2"/>
    <x v="3"/>
    <x v="3"/>
    <x v="0"/>
  </r>
  <r>
    <x v="8"/>
    <x v="0"/>
    <x v="2"/>
    <x v="2"/>
    <x v="2"/>
    <x v="0"/>
    <x v="1"/>
    <d v="2020-02-20T00:00:00"/>
    <x v="1"/>
    <x v="1"/>
    <x v="1"/>
    <x v="1"/>
  </r>
  <r>
    <x v="0"/>
    <x v="4"/>
    <x v="4"/>
    <x v="2"/>
    <x v="4"/>
    <x v="3"/>
    <x v="1"/>
    <d v="2020-01-15T00:00:00"/>
    <x v="2"/>
    <x v="1"/>
    <x v="1"/>
    <x v="1"/>
  </r>
  <r>
    <x v="3"/>
    <x v="5"/>
    <x v="2"/>
    <x v="2"/>
    <x v="0"/>
    <x v="3"/>
    <x v="1"/>
    <d v="2020-01-15T00:00:00"/>
    <x v="2"/>
    <x v="3"/>
    <x v="3"/>
    <x v="0"/>
  </r>
  <r>
    <x v="6"/>
    <x v="0"/>
    <x v="5"/>
    <x v="0"/>
    <x v="0"/>
    <x v="0"/>
    <x v="1"/>
    <d v="2020-01-15T00:00:00"/>
    <x v="2"/>
    <x v="0"/>
    <x v="0"/>
    <x v="1"/>
  </r>
  <r>
    <x v="0"/>
    <x v="1"/>
    <x v="5"/>
    <x v="2"/>
    <x v="4"/>
    <x v="4"/>
    <x v="0"/>
    <d v="2018-04-05T00:00:00"/>
    <x v="0"/>
    <x v="3"/>
    <x v="3"/>
    <x v="0"/>
  </r>
  <r>
    <x v="5"/>
    <x v="3"/>
    <x v="0"/>
    <x v="2"/>
    <x v="1"/>
    <x v="0"/>
    <x v="0"/>
    <d v="2018-04-05T00:00:00"/>
    <x v="0"/>
    <x v="4"/>
    <x v="4"/>
    <x v="0"/>
  </r>
  <r>
    <x v="4"/>
    <x v="0"/>
    <x v="5"/>
    <x v="2"/>
    <x v="0"/>
    <x v="2"/>
    <x v="2"/>
    <d v="2019-12-01T00:00:00"/>
    <x v="4"/>
    <x v="1"/>
    <x v="1"/>
    <x v="1"/>
  </r>
  <r>
    <x v="5"/>
    <x v="5"/>
    <x v="3"/>
    <x v="1"/>
    <x v="3"/>
    <x v="0"/>
    <x v="1"/>
    <d v="2020-02-20T00:00:00"/>
    <x v="1"/>
    <x v="4"/>
    <x v="4"/>
    <x v="0"/>
  </r>
  <r>
    <x v="3"/>
    <x v="0"/>
    <x v="2"/>
    <x v="2"/>
    <x v="4"/>
    <x v="0"/>
    <x v="2"/>
    <d v="2019-03-25T00:00:00"/>
    <x v="3"/>
    <x v="1"/>
    <x v="1"/>
    <x v="1"/>
  </r>
  <r>
    <x v="6"/>
    <x v="2"/>
    <x v="5"/>
    <x v="0"/>
    <x v="0"/>
    <x v="4"/>
    <x v="2"/>
    <d v="2019-03-25T00:00:00"/>
    <x v="3"/>
    <x v="1"/>
    <x v="1"/>
    <x v="1"/>
  </r>
  <r>
    <x v="9"/>
    <x v="3"/>
    <x v="4"/>
    <x v="1"/>
    <x v="2"/>
    <x v="2"/>
    <x v="2"/>
    <d v="2019-03-25T00:00:00"/>
    <x v="3"/>
    <x v="2"/>
    <x v="2"/>
    <x v="0"/>
  </r>
  <r>
    <x v="3"/>
    <x v="5"/>
    <x v="0"/>
    <x v="0"/>
    <x v="3"/>
    <x v="1"/>
    <x v="1"/>
    <d v="2020-01-15T00:00:00"/>
    <x v="2"/>
    <x v="4"/>
    <x v="4"/>
    <x v="0"/>
  </r>
  <r>
    <x v="8"/>
    <x v="5"/>
    <x v="2"/>
    <x v="2"/>
    <x v="0"/>
    <x v="1"/>
    <x v="0"/>
    <d v="2018-04-05T00:00:00"/>
    <x v="0"/>
    <x v="4"/>
    <x v="4"/>
    <x v="0"/>
  </r>
  <r>
    <x v="1"/>
    <x v="4"/>
    <x v="0"/>
    <x v="1"/>
    <x v="3"/>
    <x v="3"/>
    <x v="1"/>
    <d v="2020-02-20T00:00:00"/>
    <x v="1"/>
    <x v="2"/>
    <x v="2"/>
    <x v="0"/>
  </r>
  <r>
    <x v="3"/>
    <x v="1"/>
    <x v="2"/>
    <x v="0"/>
    <x v="3"/>
    <x v="0"/>
    <x v="1"/>
    <d v="2020-01-15T00:00:00"/>
    <x v="2"/>
    <x v="0"/>
    <x v="0"/>
    <x v="1"/>
  </r>
  <r>
    <x v="4"/>
    <x v="4"/>
    <x v="4"/>
    <x v="2"/>
    <x v="1"/>
    <x v="3"/>
    <x v="0"/>
    <d v="2018-04-05T00:00:00"/>
    <x v="0"/>
    <x v="4"/>
    <x v="4"/>
    <x v="0"/>
  </r>
  <r>
    <x v="4"/>
    <x v="5"/>
    <x v="0"/>
    <x v="0"/>
    <x v="3"/>
    <x v="4"/>
    <x v="0"/>
    <d v="2018-04-05T00:00:00"/>
    <x v="0"/>
    <x v="3"/>
    <x v="3"/>
    <x v="0"/>
  </r>
  <r>
    <x v="3"/>
    <x v="3"/>
    <x v="1"/>
    <x v="0"/>
    <x v="1"/>
    <x v="1"/>
    <x v="1"/>
    <d v="2020-02-20T00:00:00"/>
    <x v="1"/>
    <x v="2"/>
    <x v="2"/>
    <x v="0"/>
  </r>
  <r>
    <x v="0"/>
    <x v="0"/>
    <x v="3"/>
    <x v="0"/>
    <x v="4"/>
    <x v="0"/>
    <x v="1"/>
    <d v="2020-02-20T00:00:00"/>
    <x v="1"/>
    <x v="4"/>
    <x v="4"/>
    <x v="0"/>
  </r>
  <r>
    <x v="1"/>
    <x v="0"/>
    <x v="3"/>
    <x v="2"/>
    <x v="1"/>
    <x v="4"/>
    <x v="1"/>
    <d v="2020-02-20T00:00:00"/>
    <x v="1"/>
    <x v="0"/>
    <x v="0"/>
    <x v="1"/>
  </r>
  <r>
    <x v="8"/>
    <x v="3"/>
    <x v="2"/>
    <x v="2"/>
    <x v="2"/>
    <x v="4"/>
    <x v="1"/>
    <d v="2020-01-15T00:00:00"/>
    <x v="2"/>
    <x v="4"/>
    <x v="4"/>
    <x v="0"/>
  </r>
  <r>
    <x v="3"/>
    <x v="5"/>
    <x v="1"/>
    <x v="0"/>
    <x v="0"/>
    <x v="0"/>
    <x v="2"/>
    <d v="2019-12-01T00:00:00"/>
    <x v="4"/>
    <x v="1"/>
    <x v="1"/>
    <x v="1"/>
  </r>
  <r>
    <x v="0"/>
    <x v="0"/>
    <x v="0"/>
    <x v="1"/>
    <x v="4"/>
    <x v="4"/>
    <x v="1"/>
    <d v="2020-02-20T00:00:00"/>
    <x v="1"/>
    <x v="3"/>
    <x v="3"/>
    <x v="0"/>
  </r>
  <r>
    <x v="4"/>
    <x v="0"/>
    <x v="1"/>
    <x v="1"/>
    <x v="4"/>
    <x v="0"/>
    <x v="2"/>
    <d v="2019-12-01T00:00:00"/>
    <x v="4"/>
    <x v="2"/>
    <x v="2"/>
    <x v="0"/>
  </r>
  <r>
    <x v="4"/>
    <x v="0"/>
    <x v="1"/>
    <x v="2"/>
    <x v="2"/>
    <x v="0"/>
    <x v="1"/>
    <d v="2020-01-15T00:00:00"/>
    <x v="2"/>
    <x v="1"/>
    <x v="1"/>
    <x v="1"/>
  </r>
  <r>
    <x v="6"/>
    <x v="1"/>
    <x v="0"/>
    <x v="2"/>
    <x v="1"/>
    <x v="2"/>
    <x v="2"/>
    <d v="2019-12-01T00:00:00"/>
    <x v="4"/>
    <x v="0"/>
    <x v="0"/>
    <x v="1"/>
  </r>
  <r>
    <x v="3"/>
    <x v="1"/>
    <x v="4"/>
    <x v="2"/>
    <x v="0"/>
    <x v="3"/>
    <x v="2"/>
    <d v="2019-03-25T00:00:00"/>
    <x v="3"/>
    <x v="1"/>
    <x v="1"/>
    <x v="1"/>
  </r>
  <r>
    <x v="1"/>
    <x v="2"/>
    <x v="1"/>
    <x v="2"/>
    <x v="1"/>
    <x v="4"/>
    <x v="2"/>
    <d v="2019-12-01T00:00:00"/>
    <x v="4"/>
    <x v="1"/>
    <x v="1"/>
    <x v="1"/>
  </r>
  <r>
    <x v="7"/>
    <x v="4"/>
    <x v="1"/>
    <x v="2"/>
    <x v="3"/>
    <x v="4"/>
    <x v="1"/>
    <d v="2020-02-20T00:00:00"/>
    <x v="1"/>
    <x v="0"/>
    <x v="0"/>
    <x v="1"/>
  </r>
  <r>
    <x v="1"/>
    <x v="3"/>
    <x v="4"/>
    <x v="1"/>
    <x v="1"/>
    <x v="2"/>
    <x v="1"/>
    <d v="2020-01-15T00:00:00"/>
    <x v="2"/>
    <x v="1"/>
    <x v="1"/>
    <x v="1"/>
  </r>
  <r>
    <x v="4"/>
    <x v="3"/>
    <x v="1"/>
    <x v="2"/>
    <x v="4"/>
    <x v="2"/>
    <x v="1"/>
    <d v="2020-02-20T00:00:00"/>
    <x v="1"/>
    <x v="2"/>
    <x v="2"/>
    <x v="0"/>
  </r>
  <r>
    <x v="4"/>
    <x v="3"/>
    <x v="1"/>
    <x v="0"/>
    <x v="0"/>
    <x v="2"/>
    <x v="2"/>
    <d v="2019-03-25T00:00:00"/>
    <x v="3"/>
    <x v="4"/>
    <x v="4"/>
    <x v="0"/>
  </r>
  <r>
    <x v="5"/>
    <x v="2"/>
    <x v="1"/>
    <x v="0"/>
    <x v="1"/>
    <x v="1"/>
    <x v="1"/>
    <d v="2020-02-20T00:00:00"/>
    <x v="1"/>
    <x v="1"/>
    <x v="1"/>
    <x v="1"/>
  </r>
  <r>
    <x v="4"/>
    <x v="1"/>
    <x v="3"/>
    <x v="1"/>
    <x v="0"/>
    <x v="1"/>
    <x v="1"/>
    <d v="2020-02-20T00:00:00"/>
    <x v="1"/>
    <x v="2"/>
    <x v="2"/>
    <x v="0"/>
  </r>
  <r>
    <x v="8"/>
    <x v="5"/>
    <x v="5"/>
    <x v="0"/>
    <x v="0"/>
    <x v="1"/>
    <x v="1"/>
    <d v="2020-02-20T00:00:00"/>
    <x v="1"/>
    <x v="4"/>
    <x v="4"/>
    <x v="0"/>
  </r>
  <r>
    <x v="2"/>
    <x v="5"/>
    <x v="4"/>
    <x v="1"/>
    <x v="3"/>
    <x v="0"/>
    <x v="0"/>
    <d v="2018-04-05T00:00:00"/>
    <x v="0"/>
    <x v="4"/>
    <x v="4"/>
    <x v="0"/>
  </r>
  <r>
    <x v="3"/>
    <x v="2"/>
    <x v="1"/>
    <x v="1"/>
    <x v="3"/>
    <x v="4"/>
    <x v="2"/>
    <d v="2019-03-25T00:00:00"/>
    <x v="3"/>
    <x v="1"/>
    <x v="1"/>
    <x v="1"/>
  </r>
  <r>
    <x v="1"/>
    <x v="5"/>
    <x v="3"/>
    <x v="0"/>
    <x v="4"/>
    <x v="3"/>
    <x v="1"/>
    <d v="2020-02-20T00:00:00"/>
    <x v="1"/>
    <x v="2"/>
    <x v="2"/>
    <x v="0"/>
  </r>
  <r>
    <x v="2"/>
    <x v="3"/>
    <x v="4"/>
    <x v="2"/>
    <x v="2"/>
    <x v="0"/>
    <x v="1"/>
    <d v="2020-02-20T00:00:00"/>
    <x v="1"/>
    <x v="1"/>
    <x v="1"/>
    <x v="1"/>
  </r>
  <r>
    <x v="0"/>
    <x v="4"/>
    <x v="2"/>
    <x v="0"/>
    <x v="0"/>
    <x v="4"/>
    <x v="1"/>
    <d v="2020-02-20T00:00:00"/>
    <x v="1"/>
    <x v="0"/>
    <x v="0"/>
    <x v="1"/>
  </r>
  <r>
    <x v="7"/>
    <x v="0"/>
    <x v="2"/>
    <x v="0"/>
    <x v="2"/>
    <x v="4"/>
    <x v="1"/>
    <d v="2020-01-15T00:00:00"/>
    <x v="2"/>
    <x v="4"/>
    <x v="4"/>
    <x v="0"/>
  </r>
  <r>
    <x v="8"/>
    <x v="1"/>
    <x v="1"/>
    <x v="1"/>
    <x v="4"/>
    <x v="2"/>
    <x v="0"/>
    <d v="2018-04-05T00:00:00"/>
    <x v="0"/>
    <x v="1"/>
    <x v="1"/>
    <x v="1"/>
  </r>
  <r>
    <x v="1"/>
    <x v="1"/>
    <x v="3"/>
    <x v="0"/>
    <x v="0"/>
    <x v="2"/>
    <x v="1"/>
    <d v="2020-01-15T00:00:00"/>
    <x v="2"/>
    <x v="4"/>
    <x v="4"/>
    <x v="0"/>
  </r>
  <r>
    <x v="2"/>
    <x v="2"/>
    <x v="3"/>
    <x v="1"/>
    <x v="0"/>
    <x v="0"/>
    <x v="0"/>
    <d v="2018-04-05T00:00:00"/>
    <x v="0"/>
    <x v="2"/>
    <x v="2"/>
    <x v="0"/>
  </r>
  <r>
    <x v="7"/>
    <x v="1"/>
    <x v="4"/>
    <x v="2"/>
    <x v="2"/>
    <x v="2"/>
    <x v="1"/>
    <d v="2020-02-20T00:00:00"/>
    <x v="1"/>
    <x v="3"/>
    <x v="3"/>
    <x v="0"/>
  </r>
  <r>
    <x v="5"/>
    <x v="3"/>
    <x v="4"/>
    <x v="2"/>
    <x v="1"/>
    <x v="4"/>
    <x v="2"/>
    <d v="2019-03-25T00:00:00"/>
    <x v="3"/>
    <x v="1"/>
    <x v="1"/>
    <x v="1"/>
  </r>
  <r>
    <x v="8"/>
    <x v="5"/>
    <x v="3"/>
    <x v="2"/>
    <x v="3"/>
    <x v="2"/>
    <x v="2"/>
    <d v="2019-12-01T00:00:00"/>
    <x v="4"/>
    <x v="1"/>
    <x v="1"/>
    <x v="1"/>
  </r>
  <r>
    <x v="8"/>
    <x v="3"/>
    <x v="4"/>
    <x v="0"/>
    <x v="1"/>
    <x v="1"/>
    <x v="2"/>
    <d v="2019-12-01T00:00:00"/>
    <x v="4"/>
    <x v="4"/>
    <x v="4"/>
    <x v="0"/>
  </r>
  <r>
    <x v="5"/>
    <x v="2"/>
    <x v="3"/>
    <x v="1"/>
    <x v="2"/>
    <x v="2"/>
    <x v="1"/>
    <d v="2020-02-20T00:00:00"/>
    <x v="1"/>
    <x v="2"/>
    <x v="2"/>
    <x v="0"/>
  </r>
  <r>
    <x v="3"/>
    <x v="3"/>
    <x v="5"/>
    <x v="2"/>
    <x v="3"/>
    <x v="4"/>
    <x v="1"/>
    <d v="2020-01-15T00:00:00"/>
    <x v="2"/>
    <x v="0"/>
    <x v="0"/>
    <x v="1"/>
  </r>
  <r>
    <x v="5"/>
    <x v="5"/>
    <x v="3"/>
    <x v="1"/>
    <x v="1"/>
    <x v="0"/>
    <x v="2"/>
    <d v="2019-03-25T00:00:00"/>
    <x v="3"/>
    <x v="2"/>
    <x v="2"/>
    <x v="0"/>
  </r>
  <r>
    <x v="8"/>
    <x v="4"/>
    <x v="2"/>
    <x v="1"/>
    <x v="3"/>
    <x v="3"/>
    <x v="0"/>
    <d v="2018-04-05T00:00:00"/>
    <x v="0"/>
    <x v="1"/>
    <x v="1"/>
    <x v="1"/>
  </r>
  <r>
    <x v="8"/>
    <x v="2"/>
    <x v="4"/>
    <x v="2"/>
    <x v="0"/>
    <x v="2"/>
    <x v="1"/>
    <d v="2020-02-20T00:00:00"/>
    <x v="1"/>
    <x v="0"/>
    <x v="0"/>
    <x v="1"/>
  </r>
  <r>
    <x v="2"/>
    <x v="4"/>
    <x v="3"/>
    <x v="2"/>
    <x v="1"/>
    <x v="4"/>
    <x v="2"/>
    <d v="2019-03-25T00:00:00"/>
    <x v="3"/>
    <x v="2"/>
    <x v="2"/>
    <x v="0"/>
  </r>
  <r>
    <x v="4"/>
    <x v="0"/>
    <x v="3"/>
    <x v="1"/>
    <x v="3"/>
    <x v="3"/>
    <x v="2"/>
    <d v="2019-03-25T00:00:00"/>
    <x v="3"/>
    <x v="3"/>
    <x v="3"/>
    <x v="0"/>
  </r>
  <r>
    <x v="7"/>
    <x v="4"/>
    <x v="4"/>
    <x v="2"/>
    <x v="3"/>
    <x v="3"/>
    <x v="0"/>
    <d v="2018-04-05T00:00:00"/>
    <x v="0"/>
    <x v="4"/>
    <x v="4"/>
    <x v="0"/>
  </r>
  <r>
    <x v="5"/>
    <x v="0"/>
    <x v="5"/>
    <x v="1"/>
    <x v="3"/>
    <x v="1"/>
    <x v="2"/>
    <d v="2019-03-25T00:00:00"/>
    <x v="3"/>
    <x v="2"/>
    <x v="2"/>
    <x v="0"/>
  </r>
  <r>
    <x v="7"/>
    <x v="0"/>
    <x v="5"/>
    <x v="1"/>
    <x v="1"/>
    <x v="3"/>
    <x v="1"/>
    <d v="2020-01-15T00:00:00"/>
    <x v="2"/>
    <x v="2"/>
    <x v="2"/>
    <x v="0"/>
  </r>
  <r>
    <x v="5"/>
    <x v="4"/>
    <x v="4"/>
    <x v="2"/>
    <x v="4"/>
    <x v="4"/>
    <x v="1"/>
    <d v="2020-01-15T00:00:00"/>
    <x v="2"/>
    <x v="3"/>
    <x v="3"/>
    <x v="0"/>
  </r>
  <r>
    <x v="0"/>
    <x v="2"/>
    <x v="0"/>
    <x v="0"/>
    <x v="1"/>
    <x v="4"/>
    <x v="1"/>
    <d v="2020-01-15T00:00:00"/>
    <x v="2"/>
    <x v="1"/>
    <x v="1"/>
    <x v="1"/>
  </r>
  <r>
    <x v="8"/>
    <x v="5"/>
    <x v="4"/>
    <x v="2"/>
    <x v="2"/>
    <x v="2"/>
    <x v="2"/>
    <d v="2019-03-25T00:00:00"/>
    <x v="3"/>
    <x v="4"/>
    <x v="4"/>
    <x v="0"/>
  </r>
  <r>
    <x v="4"/>
    <x v="3"/>
    <x v="4"/>
    <x v="0"/>
    <x v="1"/>
    <x v="2"/>
    <x v="1"/>
    <d v="2020-01-15T00:00:00"/>
    <x v="2"/>
    <x v="2"/>
    <x v="2"/>
    <x v="0"/>
  </r>
  <r>
    <x v="2"/>
    <x v="3"/>
    <x v="5"/>
    <x v="1"/>
    <x v="3"/>
    <x v="2"/>
    <x v="0"/>
    <d v="2018-04-05T00:00:00"/>
    <x v="0"/>
    <x v="0"/>
    <x v="0"/>
    <x v="1"/>
  </r>
  <r>
    <x v="4"/>
    <x v="5"/>
    <x v="5"/>
    <x v="1"/>
    <x v="0"/>
    <x v="3"/>
    <x v="2"/>
    <d v="2019-03-25T00:00:00"/>
    <x v="3"/>
    <x v="2"/>
    <x v="2"/>
    <x v="0"/>
  </r>
  <r>
    <x v="4"/>
    <x v="0"/>
    <x v="4"/>
    <x v="0"/>
    <x v="1"/>
    <x v="3"/>
    <x v="2"/>
    <d v="2019-12-01T00:00:00"/>
    <x v="4"/>
    <x v="4"/>
    <x v="4"/>
    <x v="0"/>
  </r>
  <r>
    <x v="4"/>
    <x v="0"/>
    <x v="4"/>
    <x v="1"/>
    <x v="1"/>
    <x v="1"/>
    <x v="2"/>
    <d v="2019-03-25T00:00:00"/>
    <x v="3"/>
    <x v="2"/>
    <x v="2"/>
    <x v="0"/>
  </r>
  <r>
    <x v="7"/>
    <x v="2"/>
    <x v="4"/>
    <x v="0"/>
    <x v="3"/>
    <x v="2"/>
    <x v="0"/>
    <d v="2018-04-05T00:00:00"/>
    <x v="0"/>
    <x v="3"/>
    <x v="3"/>
    <x v="0"/>
  </r>
  <r>
    <x v="5"/>
    <x v="1"/>
    <x v="5"/>
    <x v="0"/>
    <x v="0"/>
    <x v="0"/>
    <x v="2"/>
    <d v="2019-12-01T00:00:00"/>
    <x v="4"/>
    <x v="2"/>
    <x v="2"/>
    <x v="0"/>
  </r>
  <r>
    <x v="9"/>
    <x v="4"/>
    <x v="4"/>
    <x v="1"/>
    <x v="0"/>
    <x v="1"/>
    <x v="2"/>
    <d v="2019-03-25T00:00:00"/>
    <x v="3"/>
    <x v="2"/>
    <x v="2"/>
    <x v="0"/>
  </r>
  <r>
    <x v="0"/>
    <x v="0"/>
    <x v="4"/>
    <x v="0"/>
    <x v="2"/>
    <x v="0"/>
    <x v="1"/>
    <d v="2020-01-15T00:00:00"/>
    <x v="2"/>
    <x v="0"/>
    <x v="0"/>
    <x v="1"/>
  </r>
  <r>
    <x v="1"/>
    <x v="3"/>
    <x v="1"/>
    <x v="2"/>
    <x v="1"/>
    <x v="3"/>
    <x v="1"/>
    <d v="2020-02-20T00:00:00"/>
    <x v="1"/>
    <x v="3"/>
    <x v="3"/>
    <x v="0"/>
  </r>
  <r>
    <x v="4"/>
    <x v="2"/>
    <x v="0"/>
    <x v="2"/>
    <x v="0"/>
    <x v="1"/>
    <x v="1"/>
    <d v="2020-02-20T00:00:00"/>
    <x v="1"/>
    <x v="3"/>
    <x v="3"/>
    <x v="0"/>
  </r>
  <r>
    <x v="3"/>
    <x v="4"/>
    <x v="2"/>
    <x v="1"/>
    <x v="0"/>
    <x v="1"/>
    <x v="1"/>
    <d v="2020-01-15T00:00:00"/>
    <x v="2"/>
    <x v="2"/>
    <x v="2"/>
    <x v="0"/>
  </r>
  <r>
    <x v="7"/>
    <x v="2"/>
    <x v="0"/>
    <x v="1"/>
    <x v="4"/>
    <x v="4"/>
    <x v="1"/>
    <d v="2020-02-20T00:00:00"/>
    <x v="1"/>
    <x v="0"/>
    <x v="0"/>
    <x v="1"/>
  </r>
  <r>
    <x v="2"/>
    <x v="4"/>
    <x v="1"/>
    <x v="0"/>
    <x v="4"/>
    <x v="3"/>
    <x v="1"/>
    <d v="2020-02-20T00:00:00"/>
    <x v="1"/>
    <x v="2"/>
    <x v="2"/>
    <x v="0"/>
  </r>
  <r>
    <x v="1"/>
    <x v="4"/>
    <x v="2"/>
    <x v="0"/>
    <x v="0"/>
    <x v="3"/>
    <x v="1"/>
    <d v="2020-01-15T00:00:00"/>
    <x v="2"/>
    <x v="2"/>
    <x v="2"/>
    <x v="0"/>
  </r>
  <r>
    <x v="9"/>
    <x v="5"/>
    <x v="4"/>
    <x v="0"/>
    <x v="2"/>
    <x v="1"/>
    <x v="1"/>
    <d v="2020-01-15T00:00:00"/>
    <x v="2"/>
    <x v="4"/>
    <x v="4"/>
    <x v="0"/>
  </r>
  <r>
    <x v="3"/>
    <x v="0"/>
    <x v="1"/>
    <x v="0"/>
    <x v="0"/>
    <x v="3"/>
    <x v="2"/>
    <d v="2019-03-25T00:00:00"/>
    <x v="3"/>
    <x v="4"/>
    <x v="4"/>
    <x v="0"/>
  </r>
  <r>
    <x v="9"/>
    <x v="2"/>
    <x v="4"/>
    <x v="2"/>
    <x v="3"/>
    <x v="1"/>
    <x v="2"/>
    <d v="2019-03-25T00:00:00"/>
    <x v="3"/>
    <x v="0"/>
    <x v="0"/>
    <x v="1"/>
  </r>
  <r>
    <x v="1"/>
    <x v="2"/>
    <x v="5"/>
    <x v="2"/>
    <x v="1"/>
    <x v="4"/>
    <x v="1"/>
    <d v="2020-01-15T00:00:00"/>
    <x v="2"/>
    <x v="1"/>
    <x v="1"/>
    <x v="1"/>
  </r>
  <r>
    <x v="4"/>
    <x v="5"/>
    <x v="3"/>
    <x v="1"/>
    <x v="2"/>
    <x v="1"/>
    <x v="0"/>
    <d v="2018-04-05T00:00:00"/>
    <x v="0"/>
    <x v="4"/>
    <x v="4"/>
    <x v="0"/>
  </r>
  <r>
    <x v="3"/>
    <x v="3"/>
    <x v="1"/>
    <x v="0"/>
    <x v="3"/>
    <x v="3"/>
    <x v="1"/>
    <d v="2020-02-20T00:00:00"/>
    <x v="1"/>
    <x v="1"/>
    <x v="1"/>
    <x v="1"/>
  </r>
  <r>
    <x v="9"/>
    <x v="3"/>
    <x v="5"/>
    <x v="0"/>
    <x v="2"/>
    <x v="3"/>
    <x v="2"/>
    <d v="2019-03-25T00:00:00"/>
    <x v="3"/>
    <x v="3"/>
    <x v="3"/>
    <x v="0"/>
  </r>
  <r>
    <x v="2"/>
    <x v="0"/>
    <x v="1"/>
    <x v="1"/>
    <x v="3"/>
    <x v="1"/>
    <x v="1"/>
    <d v="2020-02-20T00:00:00"/>
    <x v="1"/>
    <x v="4"/>
    <x v="4"/>
    <x v="0"/>
  </r>
  <r>
    <x v="5"/>
    <x v="0"/>
    <x v="1"/>
    <x v="0"/>
    <x v="1"/>
    <x v="1"/>
    <x v="2"/>
    <d v="2019-12-01T00:00:00"/>
    <x v="4"/>
    <x v="4"/>
    <x v="4"/>
    <x v="0"/>
  </r>
  <r>
    <x v="8"/>
    <x v="1"/>
    <x v="5"/>
    <x v="0"/>
    <x v="1"/>
    <x v="1"/>
    <x v="1"/>
    <d v="2020-01-15T00:00:00"/>
    <x v="2"/>
    <x v="0"/>
    <x v="0"/>
    <x v="1"/>
  </r>
  <r>
    <x v="5"/>
    <x v="5"/>
    <x v="2"/>
    <x v="0"/>
    <x v="4"/>
    <x v="2"/>
    <x v="0"/>
    <d v="2018-04-05T00:00:00"/>
    <x v="0"/>
    <x v="1"/>
    <x v="1"/>
    <x v="1"/>
  </r>
  <r>
    <x v="1"/>
    <x v="3"/>
    <x v="0"/>
    <x v="0"/>
    <x v="3"/>
    <x v="3"/>
    <x v="2"/>
    <d v="2019-12-01T00:00:00"/>
    <x v="4"/>
    <x v="4"/>
    <x v="4"/>
    <x v="0"/>
  </r>
  <r>
    <x v="7"/>
    <x v="4"/>
    <x v="4"/>
    <x v="0"/>
    <x v="4"/>
    <x v="3"/>
    <x v="2"/>
    <d v="2019-12-01T00:00:00"/>
    <x v="4"/>
    <x v="4"/>
    <x v="4"/>
    <x v="0"/>
  </r>
  <r>
    <x v="8"/>
    <x v="2"/>
    <x v="1"/>
    <x v="1"/>
    <x v="3"/>
    <x v="2"/>
    <x v="2"/>
    <d v="2019-12-01T00:00:00"/>
    <x v="4"/>
    <x v="0"/>
    <x v="0"/>
    <x v="1"/>
  </r>
  <r>
    <x v="0"/>
    <x v="0"/>
    <x v="4"/>
    <x v="0"/>
    <x v="4"/>
    <x v="1"/>
    <x v="1"/>
    <d v="2020-01-15T00:00:00"/>
    <x v="2"/>
    <x v="0"/>
    <x v="0"/>
    <x v="1"/>
  </r>
  <r>
    <x v="2"/>
    <x v="2"/>
    <x v="3"/>
    <x v="1"/>
    <x v="1"/>
    <x v="4"/>
    <x v="2"/>
    <d v="2019-03-25T00:00:00"/>
    <x v="3"/>
    <x v="1"/>
    <x v="1"/>
    <x v="1"/>
  </r>
  <r>
    <x v="0"/>
    <x v="2"/>
    <x v="5"/>
    <x v="0"/>
    <x v="2"/>
    <x v="1"/>
    <x v="1"/>
    <d v="2020-01-15T00:00:00"/>
    <x v="2"/>
    <x v="3"/>
    <x v="3"/>
    <x v="0"/>
  </r>
  <r>
    <x v="3"/>
    <x v="1"/>
    <x v="4"/>
    <x v="2"/>
    <x v="4"/>
    <x v="1"/>
    <x v="2"/>
    <d v="2019-03-25T00:00:00"/>
    <x v="3"/>
    <x v="3"/>
    <x v="3"/>
    <x v="0"/>
  </r>
  <r>
    <x v="8"/>
    <x v="3"/>
    <x v="5"/>
    <x v="2"/>
    <x v="3"/>
    <x v="2"/>
    <x v="2"/>
    <d v="2019-12-01T00:00:00"/>
    <x v="4"/>
    <x v="2"/>
    <x v="2"/>
    <x v="0"/>
  </r>
  <r>
    <x v="0"/>
    <x v="0"/>
    <x v="4"/>
    <x v="2"/>
    <x v="3"/>
    <x v="3"/>
    <x v="2"/>
    <d v="2019-12-01T00:00:00"/>
    <x v="4"/>
    <x v="4"/>
    <x v="4"/>
    <x v="0"/>
  </r>
  <r>
    <x v="0"/>
    <x v="2"/>
    <x v="0"/>
    <x v="2"/>
    <x v="1"/>
    <x v="1"/>
    <x v="0"/>
    <d v="2018-04-05T00:00:00"/>
    <x v="0"/>
    <x v="1"/>
    <x v="1"/>
    <x v="1"/>
  </r>
  <r>
    <x v="9"/>
    <x v="0"/>
    <x v="0"/>
    <x v="1"/>
    <x v="3"/>
    <x v="3"/>
    <x v="2"/>
    <d v="2019-03-25T00:00:00"/>
    <x v="3"/>
    <x v="4"/>
    <x v="4"/>
    <x v="0"/>
  </r>
  <r>
    <x v="5"/>
    <x v="4"/>
    <x v="0"/>
    <x v="1"/>
    <x v="0"/>
    <x v="0"/>
    <x v="2"/>
    <d v="2019-12-01T00:00:00"/>
    <x v="4"/>
    <x v="1"/>
    <x v="1"/>
    <x v="1"/>
  </r>
  <r>
    <x v="9"/>
    <x v="1"/>
    <x v="0"/>
    <x v="0"/>
    <x v="2"/>
    <x v="3"/>
    <x v="1"/>
    <d v="2020-02-20T00:00:00"/>
    <x v="1"/>
    <x v="1"/>
    <x v="1"/>
    <x v="1"/>
  </r>
  <r>
    <x v="8"/>
    <x v="4"/>
    <x v="0"/>
    <x v="2"/>
    <x v="4"/>
    <x v="4"/>
    <x v="0"/>
    <d v="2018-04-05T00:00:00"/>
    <x v="0"/>
    <x v="1"/>
    <x v="1"/>
    <x v="1"/>
  </r>
  <r>
    <x v="8"/>
    <x v="0"/>
    <x v="0"/>
    <x v="1"/>
    <x v="2"/>
    <x v="4"/>
    <x v="1"/>
    <d v="2020-01-15T00:00:00"/>
    <x v="2"/>
    <x v="4"/>
    <x v="4"/>
    <x v="0"/>
  </r>
  <r>
    <x v="1"/>
    <x v="0"/>
    <x v="5"/>
    <x v="0"/>
    <x v="1"/>
    <x v="1"/>
    <x v="0"/>
    <d v="2018-04-05T00:00:00"/>
    <x v="0"/>
    <x v="0"/>
    <x v="0"/>
    <x v="1"/>
  </r>
  <r>
    <x v="9"/>
    <x v="3"/>
    <x v="1"/>
    <x v="0"/>
    <x v="4"/>
    <x v="3"/>
    <x v="1"/>
    <d v="2020-02-20T00:00:00"/>
    <x v="1"/>
    <x v="4"/>
    <x v="4"/>
    <x v="0"/>
  </r>
  <r>
    <x v="6"/>
    <x v="2"/>
    <x v="4"/>
    <x v="1"/>
    <x v="4"/>
    <x v="1"/>
    <x v="2"/>
    <d v="2019-03-25T00:00:00"/>
    <x v="3"/>
    <x v="1"/>
    <x v="1"/>
    <x v="1"/>
  </r>
  <r>
    <x v="5"/>
    <x v="2"/>
    <x v="0"/>
    <x v="2"/>
    <x v="0"/>
    <x v="2"/>
    <x v="1"/>
    <d v="2020-01-15T00:00:00"/>
    <x v="2"/>
    <x v="2"/>
    <x v="2"/>
    <x v="0"/>
  </r>
  <r>
    <x v="8"/>
    <x v="4"/>
    <x v="5"/>
    <x v="0"/>
    <x v="1"/>
    <x v="4"/>
    <x v="1"/>
    <d v="2020-01-15T00:00:00"/>
    <x v="2"/>
    <x v="3"/>
    <x v="3"/>
    <x v="0"/>
  </r>
  <r>
    <x v="1"/>
    <x v="1"/>
    <x v="5"/>
    <x v="2"/>
    <x v="3"/>
    <x v="1"/>
    <x v="2"/>
    <d v="2019-03-25T00:00:00"/>
    <x v="3"/>
    <x v="1"/>
    <x v="1"/>
    <x v="1"/>
  </r>
  <r>
    <x v="9"/>
    <x v="5"/>
    <x v="5"/>
    <x v="2"/>
    <x v="0"/>
    <x v="2"/>
    <x v="0"/>
    <d v="2018-04-05T00:00:00"/>
    <x v="0"/>
    <x v="2"/>
    <x v="2"/>
    <x v="0"/>
  </r>
  <r>
    <x v="5"/>
    <x v="2"/>
    <x v="1"/>
    <x v="2"/>
    <x v="0"/>
    <x v="1"/>
    <x v="2"/>
    <d v="2019-12-01T00:00:00"/>
    <x v="4"/>
    <x v="0"/>
    <x v="0"/>
    <x v="1"/>
  </r>
  <r>
    <x v="9"/>
    <x v="3"/>
    <x v="4"/>
    <x v="0"/>
    <x v="2"/>
    <x v="3"/>
    <x v="0"/>
    <d v="2018-04-05T00:00:00"/>
    <x v="0"/>
    <x v="1"/>
    <x v="1"/>
    <x v="1"/>
  </r>
  <r>
    <x v="0"/>
    <x v="4"/>
    <x v="1"/>
    <x v="2"/>
    <x v="2"/>
    <x v="3"/>
    <x v="1"/>
    <d v="2020-02-20T00:00:00"/>
    <x v="1"/>
    <x v="2"/>
    <x v="2"/>
    <x v="0"/>
  </r>
  <r>
    <x v="1"/>
    <x v="4"/>
    <x v="2"/>
    <x v="0"/>
    <x v="2"/>
    <x v="3"/>
    <x v="2"/>
    <d v="2019-12-01T00:00:00"/>
    <x v="4"/>
    <x v="1"/>
    <x v="1"/>
    <x v="1"/>
  </r>
  <r>
    <x v="5"/>
    <x v="5"/>
    <x v="5"/>
    <x v="2"/>
    <x v="0"/>
    <x v="3"/>
    <x v="0"/>
    <d v="2018-04-05T00:00:00"/>
    <x v="0"/>
    <x v="4"/>
    <x v="4"/>
    <x v="0"/>
  </r>
  <r>
    <x v="4"/>
    <x v="3"/>
    <x v="2"/>
    <x v="0"/>
    <x v="3"/>
    <x v="0"/>
    <x v="2"/>
    <d v="2019-03-25T00:00:00"/>
    <x v="3"/>
    <x v="2"/>
    <x v="2"/>
    <x v="0"/>
  </r>
  <r>
    <x v="3"/>
    <x v="1"/>
    <x v="3"/>
    <x v="2"/>
    <x v="4"/>
    <x v="2"/>
    <x v="1"/>
    <d v="2020-02-20T00:00:00"/>
    <x v="1"/>
    <x v="4"/>
    <x v="4"/>
    <x v="0"/>
  </r>
  <r>
    <x v="3"/>
    <x v="3"/>
    <x v="0"/>
    <x v="1"/>
    <x v="2"/>
    <x v="2"/>
    <x v="1"/>
    <d v="2020-02-20T00:00:00"/>
    <x v="1"/>
    <x v="4"/>
    <x v="4"/>
    <x v="0"/>
  </r>
  <r>
    <x v="5"/>
    <x v="1"/>
    <x v="0"/>
    <x v="2"/>
    <x v="3"/>
    <x v="3"/>
    <x v="1"/>
    <d v="2020-02-20T00:00:00"/>
    <x v="1"/>
    <x v="2"/>
    <x v="2"/>
    <x v="0"/>
  </r>
  <r>
    <x v="9"/>
    <x v="3"/>
    <x v="1"/>
    <x v="2"/>
    <x v="1"/>
    <x v="0"/>
    <x v="2"/>
    <d v="2019-12-01T00:00:00"/>
    <x v="4"/>
    <x v="3"/>
    <x v="3"/>
    <x v="0"/>
  </r>
  <r>
    <x v="1"/>
    <x v="3"/>
    <x v="4"/>
    <x v="0"/>
    <x v="2"/>
    <x v="3"/>
    <x v="1"/>
    <d v="2020-01-15T00:00:00"/>
    <x v="2"/>
    <x v="2"/>
    <x v="2"/>
    <x v="0"/>
  </r>
  <r>
    <x v="3"/>
    <x v="0"/>
    <x v="2"/>
    <x v="0"/>
    <x v="4"/>
    <x v="0"/>
    <x v="2"/>
    <d v="2019-12-01T00:00:00"/>
    <x v="4"/>
    <x v="3"/>
    <x v="3"/>
    <x v="0"/>
  </r>
  <r>
    <x v="1"/>
    <x v="4"/>
    <x v="4"/>
    <x v="2"/>
    <x v="1"/>
    <x v="3"/>
    <x v="0"/>
    <d v="2018-04-05T00:00:00"/>
    <x v="0"/>
    <x v="1"/>
    <x v="1"/>
    <x v="1"/>
  </r>
  <r>
    <x v="3"/>
    <x v="3"/>
    <x v="1"/>
    <x v="1"/>
    <x v="1"/>
    <x v="4"/>
    <x v="1"/>
    <d v="2020-01-15T00:00:00"/>
    <x v="2"/>
    <x v="1"/>
    <x v="1"/>
    <x v="1"/>
  </r>
  <r>
    <x v="0"/>
    <x v="5"/>
    <x v="0"/>
    <x v="1"/>
    <x v="4"/>
    <x v="4"/>
    <x v="0"/>
    <d v="2018-04-05T00:00:00"/>
    <x v="0"/>
    <x v="2"/>
    <x v="2"/>
    <x v="0"/>
  </r>
  <r>
    <x v="9"/>
    <x v="3"/>
    <x v="4"/>
    <x v="0"/>
    <x v="2"/>
    <x v="1"/>
    <x v="1"/>
    <d v="2020-01-15T00:00:00"/>
    <x v="2"/>
    <x v="1"/>
    <x v="1"/>
    <x v="1"/>
  </r>
  <r>
    <x v="0"/>
    <x v="2"/>
    <x v="4"/>
    <x v="1"/>
    <x v="0"/>
    <x v="3"/>
    <x v="2"/>
    <d v="2019-12-01T00:00:00"/>
    <x v="4"/>
    <x v="0"/>
    <x v="0"/>
    <x v="1"/>
  </r>
  <r>
    <x v="3"/>
    <x v="4"/>
    <x v="0"/>
    <x v="2"/>
    <x v="4"/>
    <x v="2"/>
    <x v="1"/>
    <d v="2020-02-20T00:00:00"/>
    <x v="1"/>
    <x v="4"/>
    <x v="4"/>
    <x v="0"/>
  </r>
  <r>
    <x v="4"/>
    <x v="2"/>
    <x v="2"/>
    <x v="0"/>
    <x v="4"/>
    <x v="1"/>
    <x v="2"/>
    <d v="2019-03-25T00:00:00"/>
    <x v="3"/>
    <x v="4"/>
    <x v="4"/>
    <x v="0"/>
  </r>
  <r>
    <x v="4"/>
    <x v="4"/>
    <x v="0"/>
    <x v="2"/>
    <x v="4"/>
    <x v="4"/>
    <x v="1"/>
    <d v="2020-02-20T00:00:00"/>
    <x v="1"/>
    <x v="3"/>
    <x v="3"/>
    <x v="0"/>
  </r>
  <r>
    <x v="0"/>
    <x v="2"/>
    <x v="4"/>
    <x v="0"/>
    <x v="1"/>
    <x v="3"/>
    <x v="2"/>
    <d v="2019-12-01T00:00:00"/>
    <x v="4"/>
    <x v="1"/>
    <x v="1"/>
    <x v="1"/>
  </r>
  <r>
    <x v="4"/>
    <x v="3"/>
    <x v="2"/>
    <x v="0"/>
    <x v="3"/>
    <x v="1"/>
    <x v="1"/>
    <d v="2020-01-15T00:00:00"/>
    <x v="2"/>
    <x v="3"/>
    <x v="3"/>
    <x v="0"/>
  </r>
  <r>
    <x v="3"/>
    <x v="3"/>
    <x v="2"/>
    <x v="0"/>
    <x v="0"/>
    <x v="3"/>
    <x v="1"/>
    <d v="2020-02-20T00:00:00"/>
    <x v="1"/>
    <x v="4"/>
    <x v="4"/>
    <x v="0"/>
  </r>
  <r>
    <x v="5"/>
    <x v="0"/>
    <x v="0"/>
    <x v="0"/>
    <x v="2"/>
    <x v="4"/>
    <x v="2"/>
    <d v="2019-12-01T00:00:00"/>
    <x v="4"/>
    <x v="4"/>
    <x v="4"/>
    <x v="0"/>
  </r>
  <r>
    <x v="0"/>
    <x v="5"/>
    <x v="4"/>
    <x v="1"/>
    <x v="2"/>
    <x v="1"/>
    <x v="0"/>
    <d v="2018-04-05T00:00:00"/>
    <x v="0"/>
    <x v="1"/>
    <x v="1"/>
    <x v="1"/>
  </r>
  <r>
    <x v="7"/>
    <x v="2"/>
    <x v="1"/>
    <x v="2"/>
    <x v="3"/>
    <x v="4"/>
    <x v="2"/>
    <d v="2019-03-25T00:00:00"/>
    <x v="3"/>
    <x v="0"/>
    <x v="0"/>
    <x v="1"/>
  </r>
  <r>
    <x v="9"/>
    <x v="1"/>
    <x v="4"/>
    <x v="2"/>
    <x v="4"/>
    <x v="0"/>
    <x v="1"/>
    <d v="2020-02-20T00:00:00"/>
    <x v="1"/>
    <x v="0"/>
    <x v="0"/>
    <x v="1"/>
  </r>
  <r>
    <x v="4"/>
    <x v="0"/>
    <x v="5"/>
    <x v="2"/>
    <x v="0"/>
    <x v="4"/>
    <x v="1"/>
    <d v="2020-01-15T00:00:00"/>
    <x v="2"/>
    <x v="1"/>
    <x v="1"/>
    <x v="1"/>
  </r>
  <r>
    <x v="4"/>
    <x v="2"/>
    <x v="3"/>
    <x v="0"/>
    <x v="2"/>
    <x v="3"/>
    <x v="0"/>
    <d v="2018-04-05T00:00:00"/>
    <x v="0"/>
    <x v="1"/>
    <x v="1"/>
    <x v="1"/>
  </r>
  <r>
    <x v="8"/>
    <x v="2"/>
    <x v="1"/>
    <x v="1"/>
    <x v="2"/>
    <x v="2"/>
    <x v="2"/>
    <d v="2019-12-01T00:00:00"/>
    <x v="4"/>
    <x v="3"/>
    <x v="3"/>
    <x v="0"/>
  </r>
  <r>
    <x v="6"/>
    <x v="0"/>
    <x v="2"/>
    <x v="2"/>
    <x v="4"/>
    <x v="4"/>
    <x v="2"/>
    <d v="2019-03-25T00:00:00"/>
    <x v="3"/>
    <x v="1"/>
    <x v="1"/>
    <x v="1"/>
  </r>
  <r>
    <x v="0"/>
    <x v="3"/>
    <x v="1"/>
    <x v="1"/>
    <x v="3"/>
    <x v="2"/>
    <x v="1"/>
    <d v="2020-01-15T00:00:00"/>
    <x v="2"/>
    <x v="0"/>
    <x v="0"/>
    <x v="1"/>
  </r>
  <r>
    <x v="2"/>
    <x v="2"/>
    <x v="2"/>
    <x v="0"/>
    <x v="0"/>
    <x v="0"/>
    <x v="2"/>
    <d v="2019-12-01T00:00:00"/>
    <x v="4"/>
    <x v="1"/>
    <x v="1"/>
    <x v="1"/>
  </r>
  <r>
    <x v="4"/>
    <x v="3"/>
    <x v="2"/>
    <x v="2"/>
    <x v="3"/>
    <x v="1"/>
    <x v="2"/>
    <d v="2019-12-01T00:00:00"/>
    <x v="4"/>
    <x v="3"/>
    <x v="3"/>
    <x v="0"/>
  </r>
  <r>
    <x v="9"/>
    <x v="0"/>
    <x v="1"/>
    <x v="1"/>
    <x v="3"/>
    <x v="1"/>
    <x v="1"/>
    <d v="2020-02-20T00:00:00"/>
    <x v="1"/>
    <x v="3"/>
    <x v="3"/>
    <x v="0"/>
  </r>
  <r>
    <x v="7"/>
    <x v="3"/>
    <x v="2"/>
    <x v="0"/>
    <x v="0"/>
    <x v="2"/>
    <x v="1"/>
    <d v="2020-02-20T00:00:00"/>
    <x v="1"/>
    <x v="3"/>
    <x v="3"/>
    <x v="0"/>
  </r>
  <r>
    <x v="4"/>
    <x v="4"/>
    <x v="2"/>
    <x v="1"/>
    <x v="0"/>
    <x v="1"/>
    <x v="1"/>
    <d v="2020-01-15T00:00:00"/>
    <x v="2"/>
    <x v="3"/>
    <x v="3"/>
    <x v="0"/>
  </r>
  <r>
    <x v="7"/>
    <x v="1"/>
    <x v="5"/>
    <x v="2"/>
    <x v="2"/>
    <x v="4"/>
    <x v="2"/>
    <d v="2019-12-01T00:00:00"/>
    <x v="4"/>
    <x v="2"/>
    <x v="2"/>
    <x v="0"/>
  </r>
  <r>
    <x v="3"/>
    <x v="2"/>
    <x v="4"/>
    <x v="2"/>
    <x v="2"/>
    <x v="2"/>
    <x v="1"/>
    <d v="2020-02-20T00:00:00"/>
    <x v="1"/>
    <x v="1"/>
    <x v="1"/>
    <x v="1"/>
  </r>
  <r>
    <x v="3"/>
    <x v="5"/>
    <x v="4"/>
    <x v="0"/>
    <x v="0"/>
    <x v="3"/>
    <x v="2"/>
    <d v="2019-03-25T00:00:00"/>
    <x v="3"/>
    <x v="4"/>
    <x v="4"/>
    <x v="0"/>
  </r>
  <r>
    <x v="6"/>
    <x v="1"/>
    <x v="3"/>
    <x v="0"/>
    <x v="1"/>
    <x v="4"/>
    <x v="2"/>
    <d v="2019-03-25T00:00:00"/>
    <x v="3"/>
    <x v="1"/>
    <x v="1"/>
    <x v="1"/>
  </r>
  <r>
    <x v="5"/>
    <x v="3"/>
    <x v="3"/>
    <x v="0"/>
    <x v="2"/>
    <x v="4"/>
    <x v="2"/>
    <d v="2019-12-01T00:00:00"/>
    <x v="4"/>
    <x v="2"/>
    <x v="2"/>
    <x v="0"/>
  </r>
  <r>
    <x v="2"/>
    <x v="2"/>
    <x v="5"/>
    <x v="1"/>
    <x v="1"/>
    <x v="4"/>
    <x v="1"/>
    <d v="2020-02-20T00:00:00"/>
    <x v="1"/>
    <x v="3"/>
    <x v="3"/>
    <x v="0"/>
  </r>
  <r>
    <x v="8"/>
    <x v="3"/>
    <x v="3"/>
    <x v="1"/>
    <x v="0"/>
    <x v="3"/>
    <x v="1"/>
    <d v="2020-01-15T00:00:00"/>
    <x v="2"/>
    <x v="2"/>
    <x v="2"/>
    <x v="0"/>
  </r>
  <r>
    <x v="6"/>
    <x v="4"/>
    <x v="1"/>
    <x v="1"/>
    <x v="2"/>
    <x v="0"/>
    <x v="1"/>
    <d v="2020-01-15T00:00:00"/>
    <x v="2"/>
    <x v="0"/>
    <x v="0"/>
    <x v="1"/>
  </r>
  <r>
    <x v="1"/>
    <x v="0"/>
    <x v="0"/>
    <x v="0"/>
    <x v="3"/>
    <x v="1"/>
    <x v="1"/>
    <d v="2020-01-15T00:00:00"/>
    <x v="2"/>
    <x v="0"/>
    <x v="0"/>
    <x v="1"/>
  </r>
  <r>
    <x v="8"/>
    <x v="2"/>
    <x v="0"/>
    <x v="2"/>
    <x v="0"/>
    <x v="2"/>
    <x v="2"/>
    <d v="2019-03-25T00:00:00"/>
    <x v="3"/>
    <x v="1"/>
    <x v="1"/>
    <x v="1"/>
  </r>
  <r>
    <x v="0"/>
    <x v="4"/>
    <x v="0"/>
    <x v="2"/>
    <x v="4"/>
    <x v="0"/>
    <x v="1"/>
    <d v="2020-02-20T00:00:00"/>
    <x v="1"/>
    <x v="1"/>
    <x v="1"/>
    <x v="1"/>
  </r>
  <r>
    <x v="9"/>
    <x v="4"/>
    <x v="5"/>
    <x v="1"/>
    <x v="1"/>
    <x v="2"/>
    <x v="1"/>
    <d v="2020-02-20T00:00:00"/>
    <x v="1"/>
    <x v="4"/>
    <x v="4"/>
    <x v="0"/>
  </r>
  <r>
    <x v="1"/>
    <x v="2"/>
    <x v="5"/>
    <x v="1"/>
    <x v="0"/>
    <x v="1"/>
    <x v="2"/>
    <d v="2019-03-25T00:00:00"/>
    <x v="3"/>
    <x v="4"/>
    <x v="4"/>
    <x v="0"/>
  </r>
  <r>
    <x v="1"/>
    <x v="3"/>
    <x v="2"/>
    <x v="2"/>
    <x v="0"/>
    <x v="3"/>
    <x v="1"/>
    <d v="2020-01-15T00:00:00"/>
    <x v="2"/>
    <x v="0"/>
    <x v="0"/>
    <x v="1"/>
  </r>
  <r>
    <x v="6"/>
    <x v="5"/>
    <x v="0"/>
    <x v="2"/>
    <x v="2"/>
    <x v="4"/>
    <x v="1"/>
    <d v="2020-01-15T00:00:00"/>
    <x v="2"/>
    <x v="3"/>
    <x v="3"/>
    <x v="0"/>
  </r>
  <r>
    <x v="5"/>
    <x v="4"/>
    <x v="1"/>
    <x v="1"/>
    <x v="2"/>
    <x v="4"/>
    <x v="2"/>
    <d v="2019-12-01T00:00:00"/>
    <x v="4"/>
    <x v="2"/>
    <x v="2"/>
    <x v="0"/>
  </r>
  <r>
    <x v="6"/>
    <x v="1"/>
    <x v="3"/>
    <x v="1"/>
    <x v="2"/>
    <x v="3"/>
    <x v="0"/>
    <d v="2018-04-05T00:00:00"/>
    <x v="0"/>
    <x v="4"/>
    <x v="4"/>
    <x v="0"/>
  </r>
  <r>
    <x v="0"/>
    <x v="4"/>
    <x v="1"/>
    <x v="2"/>
    <x v="4"/>
    <x v="0"/>
    <x v="1"/>
    <d v="2020-02-20T00:00:00"/>
    <x v="1"/>
    <x v="4"/>
    <x v="4"/>
    <x v="0"/>
  </r>
  <r>
    <x v="4"/>
    <x v="5"/>
    <x v="3"/>
    <x v="0"/>
    <x v="2"/>
    <x v="0"/>
    <x v="1"/>
    <d v="2020-02-20T00:00:00"/>
    <x v="1"/>
    <x v="3"/>
    <x v="3"/>
    <x v="0"/>
  </r>
  <r>
    <x v="4"/>
    <x v="3"/>
    <x v="0"/>
    <x v="1"/>
    <x v="0"/>
    <x v="2"/>
    <x v="1"/>
    <d v="2020-02-20T00:00:00"/>
    <x v="1"/>
    <x v="3"/>
    <x v="3"/>
    <x v="0"/>
  </r>
  <r>
    <x v="5"/>
    <x v="3"/>
    <x v="0"/>
    <x v="2"/>
    <x v="2"/>
    <x v="3"/>
    <x v="0"/>
    <d v="2018-04-05T00:00:00"/>
    <x v="0"/>
    <x v="1"/>
    <x v="1"/>
    <x v="1"/>
  </r>
  <r>
    <x v="0"/>
    <x v="1"/>
    <x v="0"/>
    <x v="2"/>
    <x v="3"/>
    <x v="0"/>
    <x v="2"/>
    <d v="2019-12-01T00:00:00"/>
    <x v="4"/>
    <x v="2"/>
    <x v="2"/>
    <x v="0"/>
  </r>
  <r>
    <x v="5"/>
    <x v="4"/>
    <x v="5"/>
    <x v="2"/>
    <x v="2"/>
    <x v="3"/>
    <x v="0"/>
    <d v="2018-04-05T00:00:00"/>
    <x v="0"/>
    <x v="3"/>
    <x v="3"/>
    <x v="0"/>
  </r>
  <r>
    <x v="7"/>
    <x v="3"/>
    <x v="3"/>
    <x v="2"/>
    <x v="4"/>
    <x v="1"/>
    <x v="1"/>
    <d v="2020-01-15T00:00:00"/>
    <x v="2"/>
    <x v="4"/>
    <x v="4"/>
    <x v="0"/>
  </r>
  <r>
    <x v="4"/>
    <x v="5"/>
    <x v="5"/>
    <x v="0"/>
    <x v="3"/>
    <x v="4"/>
    <x v="1"/>
    <d v="2020-01-15T00:00:00"/>
    <x v="2"/>
    <x v="4"/>
    <x v="4"/>
    <x v="0"/>
  </r>
  <r>
    <x v="1"/>
    <x v="2"/>
    <x v="5"/>
    <x v="2"/>
    <x v="0"/>
    <x v="4"/>
    <x v="1"/>
    <d v="2020-02-20T00:00:00"/>
    <x v="1"/>
    <x v="0"/>
    <x v="0"/>
    <x v="1"/>
  </r>
  <r>
    <x v="2"/>
    <x v="0"/>
    <x v="4"/>
    <x v="1"/>
    <x v="0"/>
    <x v="4"/>
    <x v="2"/>
    <d v="2019-03-25T00:00:00"/>
    <x v="3"/>
    <x v="3"/>
    <x v="3"/>
    <x v="0"/>
  </r>
  <r>
    <x v="9"/>
    <x v="0"/>
    <x v="1"/>
    <x v="0"/>
    <x v="1"/>
    <x v="3"/>
    <x v="1"/>
    <d v="2020-02-20T00:00:00"/>
    <x v="1"/>
    <x v="1"/>
    <x v="1"/>
    <x v="1"/>
  </r>
  <r>
    <x v="0"/>
    <x v="0"/>
    <x v="1"/>
    <x v="2"/>
    <x v="3"/>
    <x v="3"/>
    <x v="2"/>
    <d v="2019-03-25T00:00:00"/>
    <x v="3"/>
    <x v="2"/>
    <x v="2"/>
    <x v="0"/>
  </r>
  <r>
    <x v="8"/>
    <x v="4"/>
    <x v="2"/>
    <x v="0"/>
    <x v="1"/>
    <x v="2"/>
    <x v="0"/>
    <d v="2018-04-05T00:00:00"/>
    <x v="0"/>
    <x v="1"/>
    <x v="1"/>
    <x v="1"/>
  </r>
  <r>
    <x v="5"/>
    <x v="1"/>
    <x v="5"/>
    <x v="1"/>
    <x v="3"/>
    <x v="4"/>
    <x v="1"/>
    <d v="2020-01-15T00:00:00"/>
    <x v="2"/>
    <x v="4"/>
    <x v="4"/>
    <x v="0"/>
  </r>
  <r>
    <x v="9"/>
    <x v="3"/>
    <x v="3"/>
    <x v="2"/>
    <x v="3"/>
    <x v="2"/>
    <x v="2"/>
    <d v="2019-03-25T00:00:00"/>
    <x v="3"/>
    <x v="1"/>
    <x v="1"/>
    <x v="1"/>
  </r>
  <r>
    <x v="8"/>
    <x v="2"/>
    <x v="4"/>
    <x v="1"/>
    <x v="4"/>
    <x v="4"/>
    <x v="0"/>
    <d v="2018-04-05T00:00:00"/>
    <x v="0"/>
    <x v="4"/>
    <x v="4"/>
    <x v="0"/>
  </r>
  <r>
    <x v="9"/>
    <x v="5"/>
    <x v="4"/>
    <x v="2"/>
    <x v="1"/>
    <x v="2"/>
    <x v="1"/>
    <d v="2020-01-15T00:00:00"/>
    <x v="2"/>
    <x v="4"/>
    <x v="4"/>
    <x v="0"/>
  </r>
  <r>
    <x v="2"/>
    <x v="2"/>
    <x v="1"/>
    <x v="2"/>
    <x v="4"/>
    <x v="2"/>
    <x v="2"/>
    <d v="2019-03-25T00:00:00"/>
    <x v="3"/>
    <x v="4"/>
    <x v="4"/>
    <x v="0"/>
  </r>
  <r>
    <x v="8"/>
    <x v="5"/>
    <x v="5"/>
    <x v="2"/>
    <x v="3"/>
    <x v="1"/>
    <x v="1"/>
    <d v="2020-02-20T00:00:00"/>
    <x v="1"/>
    <x v="4"/>
    <x v="4"/>
    <x v="0"/>
  </r>
  <r>
    <x v="6"/>
    <x v="4"/>
    <x v="2"/>
    <x v="2"/>
    <x v="0"/>
    <x v="2"/>
    <x v="1"/>
    <d v="2020-02-20T00:00:00"/>
    <x v="1"/>
    <x v="4"/>
    <x v="4"/>
    <x v="0"/>
  </r>
  <r>
    <x v="3"/>
    <x v="0"/>
    <x v="5"/>
    <x v="2"/>
    <x v="3"/>
    <x v="3"/>
    <x v="1"/>
    <d v="2020-02-20T00:00:00"/>
    <x v="1"/>
    <x v="0"/>
    <x v="0"/>
    <x v="1"/>
  </r>
  <r>
    <x v="6"/>
    <x v="4"/>
    <x v="0"/>
    <x v="0"/>
    <x v="4"/>
    <x v="2"/>
    <x v="0"/>
    <d v="2018-04-05T00:00:00"/>
    <x v="0"/>
    <x v="1"/>
    <x v="1"/>
    <x v="1"/>
  </r>
  <r>
    <x v="4"/>
    <x v="1"/>
    <x v="5"/>
    <x v="2"/>
    <x v="1"/>
    <x v="4"/>
    <x v="1"/>
    <d v="2020-02-20T00:00:00"/>
    <x v="1"/>
    <x v="0"/>
    <x v="0"/>
    <x v="1"/>
  </r>
  <r>
    <x v="3"/>
    <x v="1"/>
    <x v="0"/>
    <x v="2"/>
    <x v="1"/>
    <x v="2"/>
    <x v="2"/>
    <d v="2019-12-01T00:00:00"/>
    <x v="4"/>
    <x v="0"/>
    <x v="0"/>
    <x v="1"/>
  </r>
  <r>
    <x v="6"/>
    <x v="5"/>
    <x v="0"/>
    <x v="0"/>
    <x v="4"/>
    <x v="0"/>
    <x v="1"/>
    <d v="2020-01-15T00:00:00"/>
    <x v="2"/>
    <x v="3"/>
    <x v="3"/>
    <x v="0"/>
  </r>
  <r>
    <x v="3"/>
    <x v="3"/>
    <x v="2"/>
    <x v="0"/>
    <x v="1"/>
    <x v="4"/>
    <x v="0"/>
    <d v="2018-04-05T00:00:00"/>
    <x v="0"/>
    <x v="3"/>
    <x v="3"/>
    <x v="0"/>
  </r>
  <r>
    <x v="3"/>
    <x v="3"/>
    <x v="3"/>
    <x v="0"/>
    <x v="2"/>
    <x v="0"/>
    <x v="1"/>
    <d v="2020-02-20T00:00:00"/>
    <x v="1"/>
    <x v="3"/>
    <x v="3"/>
    <x v="0"/>
  </r>
  <r>
    <x v="1"/>
    <x v="5"/>
    <x v="1"/>
    <x v="0"/>
    <x v="0"/>
    <x v="4"/>
    <x v="1"/>
    <d v="2020-01-15T00:00:00"/>
    <x v="2"/>
    <x v="2"/>
    <x v="2"/>
    <x v="0"/>
  </r>
  <r>
    <x v="5"/>
    <x v="1"/>
    <x v="5"/>
    <x v="0"/>
    <x v="0"/>
    <x v="3"/>
    <x v="2"/>
    <d v="2019-03-25T00:00:00"/>
    <x v="3"/>
    <x v="3"/>
    <x v="3"/>
    <x v="0"/>
  </r>
  <r>
    <x v="5"/>
    <x v="1"/>
    <x v="0"/>
    <x v="0"/>
    <x v="0"/>
    <x v="3"/>
    <x v="1"/>
    <d v="2020-02-20T00:00:00"/>
    <x v="1"/>
    <x v="1"/>
    <x v="1"/>
    <x v="1"/>
  </r>
  <r>
    <x v="1"/>
    <x v="1"/>
    <x v="5"/>
    <x v="2"/>
    <x v="1"/>
    <x v="3"/>
    <x v="1"/>
    <d v="2020-01-15T00:00:00"/>
    <x v="2"/>
    <x v="0"/>
    <x v="0"/>
    <x v="1"/>
  </r>
  <r>
    <x v="9"/>
    <x v="4"/>
    <x v="3"/>
    <x v="2"/>
    <x v="1"/>
    <x v="0"/>
    <x v="2"/>
    <d v="2019-12-01T00:00:00"/>
    <x v="4"/>
    <x v="1"/>
    <x v="1"/>
    <x v="1"/>
  </r>
  <r>
    <x v="7"/>
    <x v="1"/>
    <x v="1"/>
    <x v="1"/>
    <x v="3"/>
    <x v="1"/>
    <x v="2"/>
    <d v="2019-03-25T00:00:00"/>
    <x v="3"/>
    <x v="3"/>
    <x v="3"/>
    <x v="0"/>
  </r>
  <r>
    <x v="9"/>
    <x v="2"/>
    <x v="3"/>
    <x v="2"/>
    <x v="3"/>
    <x v="4"/>
    <x v="2"/>
    <d v="2019-12-01T00:00:00"/>
    <x v="4"/>
    <x v="2"/>
    <x v="2"/>
    <x v="0"/>
  </r>
  <r>
    <x v="8"/>
    <x v="0"/>
    <x v="1"/>
    <x v="2"/>
    <x v="0"/>
    <x v="3"/>
    <x v="1"/>
    <d v="2020-01-15T00:00:00"/>
    <x v="2"/>
    <x v="2"/>
    <x v="2"/>
    <x v="0"/>
  </r>
  <r>
    <x v="8"/>
    <x v="1"/>
    <x v="4"/>
    <x v="0"/>
    <x v="2"/>
    <x v="4"/>
    <x v="2"/>
    <d v="2019-12-01T00:00:00"/>
    <x v="4"/>
    <x v="0"/>
    <x v="0"/>
    <x v="1"/>
  </r>
  <r>
    <x v="3"/>
    <x v="5"/>
    <x v="1"/>
    <x v="0"/>
    <x v="3"/>
    <x v="0"/>
    <x v="1"/>
    <d v="2020-01-15T00:00:00"/>
    <x v="2"/>
    <x v="1"/>
    <x v="1"/>
    <x v="1"/>
  </r>
  <r>
    <x v="6"/>
    <x v="0"/>
    <x v="2"/>
    <x v="2"/>
    <x v="3"/>
    <x v="1"/>
    <x v="1"/>
    <d v="2020-01-15T00:00:00"/>
    <x v="2"/>
    <x v="4"/>
    <x v="4"/>
    <x v="0"/>
  </r>
  <r>
    <x v="6"/>
    <x v="4"/>
    <x v="3"/>
    <x v="1"/>
    <x v="1"/>
    <x v="0"/>
    <x v="2"/>
    <d v="2019-12-01T00:00:00"/>
    <x v="4"/>
    <x v="1"/>
    <x v="1"/>
    <x v="1"/>
  </r>
  <r>
    <x v="5"/>
    <x v="5"/>
    <x v="0"/>
    <x v="0"/>
    <x v="2"/>
    <x v="4"/>
    <x v="1"/>
    <d v="2020-01-15T00:00:00"/>
    <x v="2"/>
    <x v="3"/>
    <x v="3"/>
    <x v="0"/>
  </r>
  <r>
    <x v="0"/>
    <x v="0"/>
    <x v="4"/>
    <x v="2"/>
    <x v="0"/>
    <x v="1"/>
    <x v="1"/>
    <d v="2020-02-20T00:00:00"/>
    <x v="1"/>
    <x v="4"/>
    <x v="4"/>
    <x v="0"/>
  </r>
  <r>
    <x v="9"/>
    <x v="5"/>
    <x v="2"/>
    <x v="2"/>
    <x v="3"/>
    <x v="1"/>
    <x v="1"/>
    <d v="2020-01-15T00:00:00"/>
    <x v="2"/>
    <x v="2"/>
    <x v="2"/>
    <x v="0"/>
  </r>
  <r>
    <x v="4"/>
    <x v="4"/>
    <x v="5"/>
    <x v="1"/>
    <x v="2"/>
    <x v="0"/>
    <x v="0"/>
    <d v="2018-04-05T00:00:00"/>
    <x v="0"/>
    <x v="0"/>
    <x v="0"/>
    <x v="1"/>
  </r>
  <r>
    <x v="2"/>
    <x v="2"/>
    <x v="3"/>
    <x v="1"/>
    <x v="2"/>
    <x v="3"/>
    <x v="1"/>
    <d v="2020-01-15T00:00:00"/>
    <x v="2"/>
    <x v="0"/>
    <x v="0"/>
    <x v="1"/>
  </r>
  <r>
    <x v="6"/>
    <x v="4"/>
    <x v="0"/>
    <x v="0"/>
    <x v="0"/>
    <x v="4"/>
    <x v="0"/>
    <d v="2018-04-05T00:00:00"/>
    <x v="0"/>
    <x v="2"/>
    <x v="2"/>
    <x v="0"/>
  </r>
  <r>
    <x v="2"/>
    <x v="4"/>
    <x v="1"/>
    <x v="1"/>
    <x v="2"/>
    <x v="2"/>
    <x v="1"/>
    <d v="2020-01-15T00:00:00"/>
    <x v="2"/>
    <x v="3"/>
    <x v="3"/>
    <x v="0"/>
  </r>
  <r>
    <x v="3"/>
    <x v="5"/>
    <x v="0"/>
    <x v="2"/>
    <x v="2"/>
    <x v="2"/>
    <x v="1"/>
    <d v="2020-01-15T00:00:00"/>
    <x v="2"/>
    <x v="2"/>
    <x v="2"/>
    <x v="0"/>
  </r>
  <r>
    <x v="2"/>
    <x v="3"/>
    <x v="5"/>
    <x v="2"/>
    <x v="2"/>
    <x v="0"/>
    <x v="2"/>
    <d v="2019-12-01T00:00:00"/>
    <x v="4"/>
    <x v="3"/>
    <x v="3"/>
    <x v="0"/>
  </r>
  <r>
    <x v="4"/>
    <x v="1"/>
    <x v="4"/>
    <x v="1"/>
    <x v="3"/>
    <x v="4"/>
    <x v="1"/>
    <d v="2020-02-20T00:00:00"/>
    <x v="1"/>
    <x v="4"/>
    <x v="4"/>
    <x v="0"/>
  </r>
  <r>
    <x v="1"/>
    <x v="1"/>
    <x v="4"/>
    <x v="1"/>
    <x v="0"/>
    <x v="4"/>
    <x v="1"/>
    <d v="2020-02-20T00:00:00"/>
    <x v="1"/>
    <x v="2"/>
    <x v="2"/>
    <x v="0"/>
  </r>
  <r>
    <x v="4"/>
    <x v="2"/>
    <x v="3"/>
    <x v="1"/>
    <x v="2"/>
    <x v="0"/>
    <x v="2"/>
    <d v="2019-03-25T00:00:00"/>
    <x v="3"/>
    <x v="3"/>
    <x v="3"/>
    <x v="0"/>
  </r>
  <r>
    <x v="2"/>
    <x v="2"/>
    <x v="4"/>
    <x v="1"/>
    <x v="2"/>
    <x v="4"/>
    <x v="2"/>
    <d v="2019-12-01T00:00:00"/>
    <x v="4"/>
    <x v="4"/>
    <x v="4"/>
    <x v="0"/>
  </r>
  <r>
    <x v="4"/>
    <x v="1"/>
    <x v="3"/>
    <x v="0"/>
    <x v="3"/>
    <x v="3"/>
    <x v="2"/>
    <d v="2019-12-01T00:00:00"/>
    <x v="4"/>
    <x v="2"/>
    <x v="2"/>
    <x v="0"/>
  </r>
  <r>
    <x v="7"/>
    <x v="3"/>
    <x v="3"/>
    <x v="1"/>
    <x v="0"/>
    <x v="0"/>
    <x v="1"/>
    <d v="2020-02-20T00:00:00"/>
    <x v="1"/>
    <x v="0"/>
    <x v="0"/>
    <x v="1"/>
  </r>
  <r>
    <x v="3"/>
    <x v="1"/>
    <x v="3"/>
    <x v="0"/>
    <x v="1"/>
    <x v="3"/>
    <x v="2"/>
    <d v="2019-12-01T00:00:00"/>
    <x v="4"/>
    <x v="2"/>
    <x v="2"/>
    <x v="0"/>
  </r>
  <r>
    <x v="9"/>
    <x v="3"/>
    <x v="1"/>
    <x v="2"/>
    <x v="3"/>
    <x v="4"/>
    <x v="1"/>
    <d v="2020-02-20T00:00:00"/>
    <x v="1"/>
    <x v="1"/>
    <x v="1"/>
    <x v="1"/>
  </r>
  <r>
    <x v="1"/>
    <x v="2"/>
    <x v="2"/>
    <x v="1"/>
    <x v="0"/>
    <x v="0"/>
    <x v="2"/>
    <d v="2019-12-01T00:00:00"/>
    <x v="4"/>
    <x v="2"/>
    <x v="2"/>
    <x v="0"/>
  </r>
  <r>
    <x v="6"/>
    <x v="0"/>
    <x v="3"/>
    <x v="0"/>
    <x v="2"/>
    <x v="4"/>
    <x v="1"/>
    <d v="2020-01-15T00:00:00"/>
    <x v="2"/>
    <x v="1"/>
    <x v="1"/>
    <x v="1"/>
  </r>
  <r>
    <x v="8"/>
    <x v="5"/>
    <x v="3"/>
    <x v="1"/>
    <x v="0"/>
    <x v="0"/>
    <x v="1"/>
    <d v="2020-02-20T00:00:00"/>
    <x v="1"/>
    <x v="4"/>
    <x v="4"/>
    <x v="0"/>
  </r>
  <r>
    <x v="9"/>
    <x v="2"/>
    <x v="2"/>
    <x v="2"/>
    <x v="0"/>
    <x v="4"/>
    <x v="1"/>
    <d v="2020-02-20T00:00:00"/>
    <x v="1"/>
    <x v="2"/>
    <x v="2"/>
    <x v="0"/>
  </r>
  <r>
    <x v="8"/>
    <x v="2"/>
    <x v="0"/>
    <x v="2"/>
    <x v="0"/>
    <x v="3"/>
    <x v="0"/>
    <d v="2018-04-05T00:00:00"/>
    <x v="0"/>
    <x v="4"/>
    <x v="4"/>
    <x v="0"/>
  </r>
  <r>
    <x v="3"/>
    <x v="4"/>
    <x v="3"/>
    <x v="2"/>
    <x v="1"/>
    <x v="3"/>
    <x v="2"/>
    <d v="2019-12-01T00:00:00"/>
    <x v="4"/>
    <x v="4"/>
    <x v="4"/>
    <x v="0"/>
  </r>
  <r>
    <x v="1"/>
    <x v="4"/>
    <x v="1"/>
    <x v="1"/>
    <x v="0"/>
    <x v="4"/>
    <x v="2"/>
    <d v="2019-12-01T00:00:00"/>
    <x v="4"/>
    <x v="3"/>
    <x v="3"/>
    <x v="0"/>
  </r>
  <r>
    <x v="5"/>
    <x v="4"/>
    <x v="4"/>
    <x v="1"/>
    <x v="1"/>
    <x v="0"/>
    <x v="1"/>
    <d v="2020-02-20T00:00:00"/>
    <x v="1"/>
    <x v="4"/>
    <x v="4"/>
    <x v="0"/>
  </r>
  <r>
    <x v="6"/>
    <x v="5"/>
    <x v="4"/>
    <x v="0"/>
    <x v="2"/>
    <x v="2"/>
    <x v="1"/>
    <d v="2020-01-15T00:00:00"/>
    <x v="2"/>
    <x v="4"/>
    <x v="4"/>
    <x v="0"/>
  </r>
  <r>
    <x v="7"/>
    <x v="4"/>
    <x v="5"/>
    <x v="2"/>
    <x v="1"/>
    <x v="3"/>
    <x v="1"/>
    <d v="2020-01-15T00:00:00"/>
    <x v="2"/>
    <x v="2"/>
    <x v="2"/>
    <x v="0"/>
  </r>
  <r>
    <x v="5"/>
    <x v="3"/>
    <x v="5"/>
    <x v="1"/>
    <x v="2"/>
    <x v="3"/>
    <x v="1"/>
    <d v="2020-01-15T00:00:00"/>
    <x v="2"/>
    <x v="2"/>
    <x v="2"/>
    <x v="0"/>
  </r>
  <r>
    <x v="3"/>
    <x v="1"/>
    <x v="4"/>
    <x v="2"/>
    <x v="2"/>
    <x v="2"/>
    <x v="2"/>
    <d v="2019-12-01T00:00:00"/>
    <x v="4"/>
    <x v="0"/>
    <x v="0"/>
    <x v="1"/>
  </r>
  <r>
    <x v="9"/>
    <x v="0"/>
    <x v="4"/>
    <x v="2"/>
    <x v="1"/>
    <x v="4"/>
    <x v="0"/>
    <d v="2018-04-05T00:00:00"/>
    <x v="0"/>
    <x v="3"/>
    <x v="3"/>
    <x v="0"/>
  </r>
  <r>
    <x v="7"/>
    <x v="2"/>
    <x v="1"/>
    <x v="0"/>
    <x v="3"/>
    <x v="0"/>
    <x v="1"/>
    <d v="2020-02-20T00:00:00"/>
    <x v="1"/>
    <x v="4"/>
    <x v="4"/>
    <x v="0"/>
  </r>
  <r>
    <x v="4"/>
    <x v="3"/>
    <x v="2"/>
    <x v="0"/>
    <x v="4"/>
    <x v="4"/>
    <x v="2"/>
    <d v="2019-03-25T00:00:00"/>
    <x v="3"/>
    <x v="3"/>
    <x v="3"/>
    <x v="0"/>
  </r>
  <r>
    <x v="2"/>
    <x v="0"/>
    <x v="5"/>
    <x v="0"/>
    <x v="0"/>
    <x v="1"/>
    <x v="0"/>
    <d v="2018-04-05T00:00:00"/>
    <x v="0"/>
    <x v="1"/>
    <x v="1"/>
    <x v="1"/>
  </r>
  <r>
    <x v="7"/>
    <x v="3"/>
    <x v="2"/>
    <x v="0"/>
    <x v="4"/>
    <x v="3"/>
    <x v="2"/>
    <d v="2019-03-25T00:00:00"/>
    <x v="3"/>
    <x v="4"/>
    <x v="4"/>
    <x v="0"/>
  </r>
  <r>
    <x v="3"/>
    <x v="3"/>
    <x v="1"/>
    <x v="2"/>
    <x v="0"/>
    <x v="1"/>
    <x v="0"/>
    <d v="2018-04-05T00:00:00"/>
    <x v="0"/>
    <x v="3"/>
    <x v="3"/>
    <x v="0"/>
  </r>
  <r>
    <x v="0"/>
    <x v="2"/>
    <x v="4"/>
    <x v="0"/>
    <x v="0"/>
    <x v="3"/>
    <x v="1"/>
    <d v="2020-01-15T00:00:00"/>
    <x v="2"/>
    <x v="0"/>
    <x v="0"/>
    <x v="1"/>
  </r>
  <r>
    <x v="2"/>
    <x v="1"/>
    <x v="3"/>
    <x v="0"/>
    <x v="2"/>
    <x v="3"/>
    <x v="2"/>
    <d v="2019-12-01T00:00:00"/>
    <x v="4"/>
    <x v="0"/>
    <x v="0"/>
    <x v="1"/>
  </r>
  <r>
    <x v="8"/>
    <x v="4"/>
    <x v="2"/>
    <x v="0"/>
    <x v="0"/>
    <x v="1"/>
    <x v="2"/>
    <d v="2019-03-25T00:00:00"/>
    <x v="3"/>
    <x v="4"/>
    <x v="4"/>
    <x v="0"/>
  </r>
  <r>
    <x v="6"/>
    <x v="5"/>
    <x v="4"/>
    <x v="0"/>
    <x v="0"/>
    <x v="1"/>
    <x v="0"/>
    <d v="2018-04-05T00:00:00"/>
    <x v="0"/>
    <x v="1"/>
    <x v="1"/>
    <x v="1"/>
  </r>
  <r>
    <x v="8"/>
    <x v="1"/>
    <x v="4"/>
    <x v="2"/>
    <x v="1"/>
    <x v="4"/>
    <x v="2"/>
    <d v="2019-12-01T00:00:00"/>
    <x v="4"/>
    <x v="0"/>
    <x v="0"/>
    <x v="1"/>
  </r>
  <r>
    <x v="7"/>
    <x v="5"/>
    <x v="0"/>
    <x v="0"/>
    <x v="4"/>
    <x v="1"/>
    <x v="2"/>
    <d v="2019-03-25T00:00:00"/>
    <x v="3"/>
    <x v="0"/>
    <x v="0"/>
    <x v="1"/>
  </r>
  <r>
    <x v="8"/>
    <x v="2"/>
    <x v="2"/>
    <x v="2"/>
    <x v="1"/>
    <x v="4"/>
    <x v="1"/>
    <d v="2020-02-20T00:00:00"/>
    <x v="1"/>
    <x v="1"/>
    <x v="1"/>
    <x v="1"/>
  </r>
  <r>
    <x v="3"/>
    <x v="2"/>
    <x v="3"/>
    <x v="1"/>
    <x v="0"/>
    <x v="4"/>
    <x v="0"/>
    <d v="2018-04-05T00:00:00"/>
    <x v="0"/>
    <x v="3"/>
    <x v="3"/>
    <x v="0"/>
  </r>
  <r>
    <x v="4"/>
    <x v="2"/>
    <x v="2"/>
    <x v="2"/>
    <x v="2"/>
    <x v="4"/>
    <x v="1"/>
    <d v="2020-02-20T00:00:00"/>
    <x v="1"/>
    <x v="0"/>
    <x v="0"/>
    <x v="1"/>
  </r>
  <r>
    <x v="9"/>
    <x v="0"/>
    <x v="4"/>
    <x v="2"/>
    <x v="1"/>
    <x v="3"/>
    <x v="1"/>
    <d v="2020-01-15T00:00:00"/>
    <x v="2"/>
    <x v="2"/>
    <x v="2"/>
    <x v="0"/>
  </r>
  <r>
    <x v="6"/>
    <x v="5"/>
    <x v="3"/>
    <x v="0"/>
    <x v="1"/>
    <x v="3"/>
    <x v="1"/>
    <d v="2020-02-20T00:00:00"/>
    <x v="1"/>
    <x v="0"/>
    <x v="0"/>
    <x v="1"/>
  </r>
  <r>
    <x v="8"/>
    <x v="1"/>
    <x v="1"/>
    <x v="1"/>
    <x v="3"/>
    <x v="1"/>
    <x v="1"/>
    <d v="2020-02-20T00:00:00"/>
    <x v="1"/>
    <x v="3"/>
    <x v="3"/>
    <x v="0"/>
  </r>
  <r>
    <x v="8"/>
    <x v="1"/>
    <x v="0"/>
    <x v="1"/>
    <x v="0"/>
    <x v="3"/>
    <x v="0"/>
    <d v="2018-04-05T00:00:00"/>
    <x v="0"/>
    <x v="3"/>
    <x v="3"/>
    <x v="0"/>
  </r>
  <r>
    <x v="7"/>
    <x v="3"/>
    <x v="4"/>
    <x v="1"/>
    <x v="2"/>
    <x v="1"/>
    <x v="1"/>
    <d v="2020-01-15T00:00:00"/>
    <x v="2"/>
    <x v="4"/>
    <x v="4"/>
    <x v="0"/>
  </r>
  <r>
    <x v="9"/>
    <x v="3"/>
    <x v="5"/>
    <x v="1"/>
    <x v="1"/>
    <x v="3"/>
    <x v="1"/>
    <d v="2020-02-20T00:00:00"/>
    <x v="1"/>
    <x v="2"/>
    <x v="2"/>
    <x v="0"/>
  </r>
  <r>
    <x v="5"/>
    <x v="3"/>
    <x v="5"/>
    <x v="2"/>
    <x v="1"/>
    <x v="0"/>
    <x v="2"/>
    <d v="2019-12-01T00:00:00"/>
    <x v="4"/>
    <x v="3"/>
    <x v="3"/>
    <x v="0"/>
  </r>
  <r>
    <x v="8"/>
    <x v="2"/>
    <x v="0"/>
    <x v="1"/>
    <x v="2"/>
    <x v="0"/>
    <x v="2"/>
    <d v="2019-03-25T00:00:00"/>
    <x v="3"/>
    <x v="1"/>
    <x v="1"/>
    <x v="1"/>
  </r>
  <r>
    <x v="3"/>
    <x v="1"/>
    <x v="1"/>
    <x v="2"/>
    <x v="0"/>
    <x v="1"/>
    <x v="1"/>
    <d v="2020-02-20T00:00:00"/>
    <x v="1"/>
    <x v="2"/>
    <x v="2"/>
    <x v="0"/>
  </r>
  <r>
    <x v="0"/>
    <x v="5"/>
    <x v="4"/>
    <x v="2"/>
    <x v="3"/>
    <x v="3"/>
    <x v="1"/>
    <d v="2020-01-15T00:00:00"/>
    <x v="2"/>
    <x v="2"/>
    <x v="2"/>
    <x v="0"/>
  </r>
  <r>
    <x v="6"/>
    <x v="2"/>
    <x v="2"/>
    <x v="2"/>
    <x v="1"/>
    <x v="3"/>
    <x v="1"/>
    <d v="2020-02-20T00:00:00"/>
    <x v="1"/>
    <x v="1"/>
    <x v="1"/>
    <x v="1"/>
  </r>
  <r>
    <x v="8"/>
    <x v="0"/>
    <x v="0"/>
    <x v="1"/>
    <x v="3"/>
    <x v="4"/>
    <x v="2"/>
    <d v="2019-03-25T00:00:00"/>
    <x v="3"/>
    <x v="0"/>
    <x v="0"/>
    <x v="1"/>
  </r>
  <r>
    <x v="3"/>
    <x v="3"/>
    <x v="1"/>
    <x v="0"/>
    <x v="4"/>
    <x v="2"/>
    <x v="1"/>
    <d v="2020-01-15T00:00:00"/>
    <x v="2"/>
    <x v="1"/>
    <x v="1"/>
    <x v="1"/>
  </r>
  <r>
    <x v="3"/>
    <x v="2"/>
    <x v="2"/>
    <x v="0"/>
    <x v="0"/>
    <x v="1"/>
    <x v="0"/>
    <d v="2018-04-05T00:00:00"/>
    <x v="0"/>
    <x v="1"/>
    <x v="1"/>
    <x v="1"/>
  </r>
  <r>
    <x v="6"/>
    <x v="2"/>
    <x v="5"/>
    <x v="1"/>
    <x v="4"/>
    <x v="2"/>
    <x v="1"/>
    <d v="2020-01-15T00:00:00"/>
    <x v="2"/>
    <x v="0"/>
    <x v="0"/>
    <x v="1"/>
  </r>
  <r>
    <x v="5"/>
    <x v="0"/>
    <x v="5"/>
    <x v="0"/>
    <x v="4"/>
    <x v="2"/>
    <x v="0"/>
    <d v="2018-04-05T00:00:00"/>
    <x v="0"/>
    <x v="0"/>
    <x v="0"/>
    <x v="1"/>
  </r>
  <r>
    <x v="3"/>
    <x v="4"/>
    <x v="2"/>
    <x v="0"/>
    <x v="4"/>
    <x v="1"/>
    <x v="1"/>
    <d v="2020-01-15T00:00:00"/>
    <x v="2"/>
    <x v="0"/>
    <x v="0"/>
    <x v="1"/>
  </r>
  <r>
    <x v="0"/>
    <x v="1"/>
    <x v="0"/>
    <x v="2"/>
    <x v="0"/>
    <x v="3"/>
    <x v="2"/>
    <d v="2019-03-25T00:00:00"/>
    <x v="3"/>
    <x v="0"/>
    <x v="0"/>
    <x v="1"/>
  </r>
  <r>
    <x v="3"/>
    <x v="5"/>
    <x v="5"/>
    <x v="2"/>
    <x v="0"/>
    <x v="1"/>
    <x v="2"/>
    <d v="2019-03-25T00:00:00"/>
    <x v="3"/>
    <x v="0"/>
    <x v="0"/>
    <x v="1"/>
  </r>
  <r>
    <x v="3"/>
    <x v="4"/>
    <x v="4"/>
    <x v="1"/>
    <x v="2"/>
    <x v="2"/>
    <x v="1"/>
    <d v="2020-01-15T00:00:00"/>
    <x v="2"/>
    <x v="1"/>
    <x v="1"/>
    <x v="1"/>
  </r>
  <r>
    <x v="3"/>
    <x v="3"/>
    <x v="3"/>
    <x v="1"/>
    <x v="3"/>
    <x v="3"/>
    <x v="1"/>
    <d v="2020-02-20T00:00:00"/>
    <x v="1"/>
    <x v="4"/>
    <x v="4"/>
    <x v="0"/>
  </r>
  <r>
    <x v="4"/>
    <x v="2"/>
    <x v="2"/>
    <x v="0"/>
    <x v="3"/>
    <x v="0"/>
    <x v="2"/>
    <d v="2019-03-25T00:00:00"/>
    <x v="3"/>
    <x v="4"/>
    <x v="4"/>
    <x v="0"/>
  </r>
  <r>
    <x v="4"/>
    <x v="0"/>
    <x v="2"/>
    <x v="2"/>
    <x v="2"/>
    <x v="1"/>
    <x v="0"/>
    <d v="2018-04-05T00:00:00"/>
    <x v="0"/>
    <x v="3"/>
    <x v="3"/>
    <x v="0"/>
  </r>
  <r>
    <x v="5"/>
    <x v="0"/>
    <x v="5"/>
    <x v="1"/>
    <x v="2"/>
    <x v="1"/>
    <x v="0"/>
    <d v="2018-04-05T00:00:00"/>
    <x v="0"/>
    <x v="4"/>
    <x v="4"/>
    <x v="0"/>
  </r>
  <r>
    <x v="8"/>
    <x v="1"/>
    <x v="0"/>
    <x v="1"/>
    <x v="4"/>
    <x v="3"/>
    <x v="2"/>
    <d v="2019-12-01T00:00:00"/>
    <x v="4"/>
    <x v="4"/>
    <x v="4"/>
    <x v="0"/>
  </r>
  <r>
    <x v="3"/>
    <x v="4"/>
    <x v="4"/>
    <x v="1"/>
    <x v="2"/>
    <x v="0"/>
    <x v="0"/>
    <d v="2018-04-05T00:00:00"/>
    <x v="0"/>
    <x v="1"/>
    <x v="1"/>
    <x v="1"/>
  </r>
  <r>
    <x v="9"/>
    <x v="1"/>
    <x v="0"/>
    <x v="1"/>
    <x v="1"/>
    <x v="0"/>
    <x v="2"/>
    <d v="2019-12-01T00:00:00"/>
    <x v="4"/>
    <x v="0"/>
    <x v="0"/>
    <x v="1"/>
  </r>
  <r>
    <x v="8"/>
    <x v="2"/>
    <x v="1"/>
    <x v="1"/>
    <x v="3"/>
    <x v="3"/>
    <x v="1"/>
    <d v="2020-01-15T00:00:00"/>
    <x v="2"/>
    <x v="0"/>
    <x v="0"/>
    <x v="1"/>
  </r>
  <r>
    <x v="5"/>
    <x v="1"/>
    <x v="1"/>
    <x v="1"/>
    <x v="2"/>
    <x v="4"/>
    <x v="1"/>
    <d v="2020-01-15T00:00:00"/>
    <x v="2"/>
    <x v="1"/>
    <x v="1"/>
    <x v="1"/>
  </r>
  <r>
    <x v="1"/>
    <x v="5"/>
    <x v="3"/>
    <x v="0"/>
    <x v="1"/>
    <x v="1"/>
    <x v="1"/>
    <d v="2020-01-15T00:00:00"/>
    <x v="2"/>
    <x v="4"/>
    <x v="4"/>
    <x v="0"/>
  </r>
  <r>
    <x v="8"/>
    <x v="0"/>
    <x v="5"/>
    <x v="2"/>
    <x v="1"/>
    <x v="1"/>
    <x v="1"/>
    <d v="2020-02-20T00:00:00"/>
    <x v="1"/>
    <x v="1"/>
    <x v="1"/>
    <x v="1"/>
  </r>
  <r>
    <x v="8"/>
    <x v="0"/>
    <x v="5"/>
    <x v="2"/>
    <x v="1"/>
    <x v="2"/>
    <x v="1"/>
    <d v="2020-02-20T00:00:00"/>
    <x v="1"/>
    <x v="3"/>
    <x v="3"/>
    <x v="0"/>
  </r>
  <r>
    <x v="2"/>
    <x v="3"/>
    <x v="5"/>
    <x v="1"/>
    <x v="1"/>
    <x v="3"/>
    <x v="2"/>
    <d v="2019-12-01T00:00:00"/>
    <x v="4"/>
    <x v="0"/>
    <x v="0"/>
    <x v="1"/>
  </r>
  <r>
    <x v="7"/>
    <x v="3"/>
    <x v="3"/>
    <x v="2"/>
    <x v="4"/>
    <x v="2"/>
    <x v="0"/>
    <d v="2018-04-05T00:00:00"/>
    <x v="0"/>
    <x v="2"/>
    <x v="2"/>
    <x v="0"/>
  </r>
  <r>
    <x v="2"/>
    <x v="2"/>
    <x v="1"/>
    <x v="2"/>
    <x v="1"/>
    <x v="2"/>
    <x v="0"/>
    <d v="2018-04-05T00:00:00"/>
    <x v="0"/>
    <x v="3"/>
    <x v="3"/>
    <x v="0"/>
  </r>
  <r>
    <x v="0"/>
    <x v="5"/>
    <x v="0"/>
    <x v="2"/>
    <x v="4"/>
    <x v="0"/>
    <x v="1"/>
    <d v="2020-01-15T00:00:00"/>
    <x v="2"/>
    <x v="3"/>
    <x v="3"/>
    <x v="0"/>
  </r>
  <r>
    <x v="4"/>
    <x v="4"/>
    <x v="3"/>
    <x v="1"/>
    <x v="4"/>
    <x v="1"/>
    <x v="2"/>
    <d v="2019-03-25T00:00:00"/>
    <x v="3"/>
    <x v="1"/>
    <x v="1"/>
    <x v="1"/>
  </r>
  <r>
    <x v="4"/>
    <x v="1"/>
    <x v="3"/>
    <x v="1"/>
    <x v="1"/>
    <x v="2"/>
    <x v="1"/>
    <d v="2020-02-20T00:00:00"/>
    <x v="1"/>
    <x v="4"/>
    <x v="4"/>
    <x v="0"/>
  </r>
  <r>
    <x v="7"/>
    <x v="2"/>
    <x v="0"/>
    <x v="2"/>
    <x v="3"/>
    <x v="0"/>
    <x v="1"/>
    <d v="2020-02-20T00:00:00"/>
    <x v="1"/>
    <x v="0"/>
    <x v="0"/>
    <x v="1"/>
  </r>
  <r>
    <x v="6"/>
    <x v="3"/>
    <x v="5"/>
    <x v="2"/>
    <x v="1"/>
    <x v="3"/>
    <x v="1"/>
    <d v="2020-01-15T00:00:00"/>
    <x v="2"/>
    <x v="2"/>
    <x v="2"/>
    <x v="0"/>
  </r>
  <r>
    <x v="6"/>
    <x v="1"/>
    <x v="4"/>
    <x v="1"/>
    <x v="1"/>
    <x v="2"/>
    <x v="1"/>
    <d v="2020-02-20T00:00:00"/>
    <x v="1"/>
    <x v="3"/>
    <x v="3"/>
    <x v="0"/>
  </r>
  <r>
    <x v="5"/>
    <x v="3"/>
    <x v="0"/>
    <x v="0"/>
    <x v="1"/>
    <x v="1"/>
    <x v="1"/>
    <d v="2020-01-15T00:00:00"/>
    <x v="2"/>
    <x v="2"/>
    <x v="2"/>
    <x v="0"/>
  </r>
  <r>
    <x v="7"/>
    <x v="1"/>
    <x v="1"/>
    <x v="2"/>
    <x v="3"/>
    <x v="2"/>
    <x v="2"/>
    <d v="2019-12-01T00:00:00"/>
    <x v="4"/>
    <x v="4"/>
    <x v="4"/>
    <x v="0"/>
  </r>
  <r>
    <x v="8"/>
    <x v="4"/>
    <x v="2"/>
    <x v="0"/>
    <x v="0"/>
    <x v="3"/>
    <x v="0"/>
    <d v="2018-04-05T00:00:00"/>
    <x v="0"/>
    <x v="4"/>
    <x v="4"/>
    <x v="0"/>
  </r>
  <r>
    <x v="6"/>
    <x v="2"/>
    <x v="2"/>
    <x v="2"/>
    <x v="0"/>
    <x v="2"/>
    <x v="2"/>
    <d v="2019-03-25T00:00:00"/>
    <x v="3"/>
    <x v="2"/>
    <x v="2"/>
    <x v="0"/>
  </r>
  <r>
    <x v="3"/>
    <x v="1"/>
    <x v="3"/>
    <x v="0"/>
    <x v="4"/>
    <x v="1"/>
    <x v="0"/>
    <d v="2018-04-05T00:00:00"/>
    <x v="0"/>
    <x v="0"/>
    <x v="0"/>
    <x v="1"/>
  </r>
  <r>
    <x v="9"/>
    <x v="5"/>
    <x v="2"/>
    <x v="0"/>
    <x v="4"/>
    <x v="0"/>
    <x v="0"/>
    <d v="2018-04-05T00:00:00"/>
    <x v="0"/>
    <x v="4"/>
    <x v="4"/>
    <x v="0"/>
  </r>
  <r>
    <x v="8"/>
    <x v="0"/>
    <x v="4"/>
    <x v="0"/>
    <x v="3"/>
    <x v="1"/>
    <x v="2"/>
    <d v="2019-12-01T00:00:00"/>
    <x v="4"/>
    <x v="2"/>
    <x v="2"/>
    <x v="0"/>
  </r>
  <r>
    <x v="0"/>
    <x v="5"/>
    <x v="5"/>
    <x v="1"/>
    <x v="2"/>
    <x v="0"/>
    <x v="1"/>
    <d v="2020-02-20T00:00:00"/>
    <x v="1"/>
    <x v="3"/>
    <x v="3"/>
    <x v="0"/>
  </r>
  <r>
    <x v="3"/>
    <x v="5"/>
    <x v="1"/>
    <x v="0"/>
    <x v="0"/>
    <x v="4"/>
    <x v="2"/>
    <d v="2019-03-25T00:00:00"/>
    <x v="3"/>
    <x v="2"/>
    <x v="2"/>
    <x v="0"/>
  </r>
  <r>
    <x v="3"/>
    <x v="0"/>
    <x v="4"/>
    <x v="0"/>
    <x v="4"/>
    <x v="1"/>
    <x v="1"/>
    <d v="2020-02-20T00:00:00"/>
    <x v="1"/>
    <x v="2"/>
    <x v="2"/>
    <x v="0"/>
  </r>
  <r>
    <x v="7"/>
    <x v="5"/>
    <x v="1"/>
    <x v="0"/>
    <x v="0"/>
    <x v="1"/>
    <x v="0"/>
    <d v="2018-04-05T00:00:00"/>
    <x v="0"/>
    <x v="1"/>
    <x v="1"/>
    <x v="1"/>
  </r>
  <r>
    <x v="5"/>
    <x v="1"/>
    <x v="1"/>
    <x v="2"/>
    <x v="3"/>
    <x v="3"/>
    <x v="1"/>
    <d v="2020-01-15T00:00:00"/>
    <x v="2"/>
    <x v="4"/>
    <x v="4"/>
    <x v="0"/>
  </r>
  <r>
    <x v="0"/>
    <x v="1"/>
    <x v="5"/>
    <x v="0"/>
    <x v="3"/>
    <x v="2"/>
    <x v="0"/>
    <d v="2018-04-05T00:00:00"/>
    <x v="0"/>
    <x v="0"/>
    <x v="0"/>
    <x v="1"/>
  </r>
  <r>
    <x v="6"/>
    <x v="1"/>
    <x v="3"/>
    <x v="2"/>
    <x v="2"/>
    <x v="0"/>
    <x v="1"/>
    <d v="2020-02-20T00:00:00"/>
    <x v="1"/>
    <x v="0"/>
    <x v="0"/>
    <x v="1"/>
  </r>
  <r>
    <x v="7"/>
    <x v="0"/>
    <x v="2"/>
    <x v="0"/>
    <x v="2"/>
    <x v="0"/>
    <x v="0"/>
    <d v="2018-04-05T00:00:00"/>
    <x v="0"/>
    <x v="1"/>
    <x v="1"/>
    <x v="1"/>
  </r>
  <r>
    <x v="6"/>
    <x v="5"/>
    <x v="5"/>
    <x v="0"/>
    <x v="3"/>
    <x v="3"/>
    <x v="1"/>
    <d v="2020-01-15T00:00:00"/>
    <x v="2"/>
    <x v="0"/>
    <x v="0"/>
    <x v="1"/>
  </r>
  <r>
    <x v="7"/>
    <x v="0"/>
    <x v="4"/>
    <x v="1"/>
    <x v="4"/>
    <x v="3"/>
    <x v="2"/>
    <d v="2019-12-01T00:00:00"/>
    <x v="4"/>
    <x v="2"/>
    <x v="2"/>
    <x v="0"/>
  </r>
  <r>
    <x v="7"/>
    <x v="1"/>
    <x v="3"/>
    <x v="2"/>
    <x v="0"/>
    <x v="2"/>
    <x v="1"/>
    <d v="2020-02-20T00:00:00"/>
    <x v="1"/>
    <x v="1"/>
    <x v="1"/>
    <x v="1"/>
  </r>
  <r>
    <x v="7"/>
    <x v="5"/>
    <x v="4"/>
    <x v="0"/>
    <x v="1"/>
    <x v="2"/>
    <x v="0"/>
    <d v="2018-04-05T00:00:00"/>
    <x v="0"/>
    <x v="3"/>
    <x v="3"/>
    <x v="0"/>
  </r>
  <r>
    <x v="5"/>
    <x v="5"/>
    <x v="3"/>
    <x v="2"/>
    <x v="2"/>
    <x v="1"/>
    <x v="1"/>
    <d v="2020-02-20T00:00:00"/>
    <x v="1"/>
    <x v="4"/>
    <x v="4"/>
    <x v="0"/>
  </r>
  <r>
    <x v="7"/>
    <x v="3"/>
    <x v="4"/>
    <x v="2"/>
    <x v="1"/>
    <x v="4"/>
    <x v="2"/>
    <d v="2019-12-01T00:00:00"/>
    <x v="4"/>
    <x v="4"/>
    <x v="4"/>
    <x v="0"/>
  </r>
  <r>
    <x v="1"/>
    <x v="3"/>
    <x v="5"/>
    <x v="1"/>
    <x v="4"/>
    <x v="2"/>
    <x v="0"/>
    <d v="2018-04-05T00:00:00"/>
    <x v="0"/>
    <x v="4"/>
    <x v="4"/>
    <x v="0"/>
  </r>
  <r>
    <x v="9"/>
    <x v="4"/>
    <x v="3"/>
    <x v="1"/>
    <x v="2"/>
    <x v="3"/>
    <x v="0"/>
    <d v="2018-04-05T00:00:00"/>
    <x v="0"/>
    <x v="2"/>
    <x v="2"/>
    <x v="0"/>
  </r>
  <r>
    <x v="6"/>
    <x v="2"/>
    <x v="3"/>
    <x v="1"/>
    <x v="1"/>
    <x v="2"/>
    <x v="1"/>
    <d v="2020-02-20T00:00:00"/>
    <x v="1"/>
    <x v="3"/>
    <x v="3"/>
    <x v="0"/>
  </r>
  <r>
    <x v="8"/>
    <x v="3"/>
    <x v="1"/>
    <x v="1"/>
    <x v="4"/>
    <x v="0"/>
    <x v="1"/>
    <d v="2020-02-20T00:00:00"/>
    <x v="1"/>
    <x v="1"/>
    <x v="1"/>
    <x v="1"/>
  </r>
  <r>
    <x v="2"/>
    <x v="0"/>
    <x v="1"/>
    <x v="1"/>
    <x v="0"/>
    <x v="4"/>
    <x v="1"/>
    <d v="2020-01-15T00:00:00"/>
    <x v="2"/>
    <x v="1"/>
    <x v="1"/>
    <x v="1"/>
  </r>
  <r>
    <x v="0"/>
    <x v="3"/>
    <x v="0"/>
    <x v="1"/>
    <x v="4"/>
    <x v="1"/>
    <x v="2"/>
    <d v="2019-12-01T00:00:00"/>
    <x v="4"/>
    <x v="4"/>
    <x v="4"/>
    <x v="0"/>
  </r>
  <r>
    <x v="4"/>
    <x v="4"/>
    <x v="4"/>
    <x v="1"/>
    <x v="2"/>
    <x v="0"/>
    <x v="1"/>
    <d v="2020-01-15T00:00:00"/>
    <x v="2"/>
    <x v="3"/>
    <x v="3"/>
    <x v="0"/>
  </r>
  <r>
    <x v="5"/>
    <x v="5"/>
    <x v="1"/>
    <x v="1"/>
    <x v="3"/>
    <x v="0"/>
    <x v="0"/>
    <d v="2018-04-05T00:00:00"/>
    <x v="0"/>
    <x v="3"/>
    <x v="3"/>
    <x v="0"/>
  </r>
  <r>
    <x v="8"/>
    <x v="4"/>
    <x v="0"/>
    <x v="0"/>
    <x v="0"/>
    <x v="4"/>
    <x v="1"/>
    <d v="2020-02-20T00:00:00"/>
    <x v="1"/>
    <x v="3"/>
    <x v="3"/>
    <x v="0"/>
  </r>
  <r>
    <x v="3"/>
    <x v="5"/>
    <x v="1"/>
    <x v="2"/>
    <x v="1"/>
    <x v="1"/>
    <x v="0"/>
    <d v="2018-04-05T00:00:00"/>
    <x v="0"/>
    <x v="0"/>
    <x v="0"/>
    <x v="1"/>
  </r>
  <r>
    <x v="1"/>
    <x v="5"/>
    <x v="4"/>
    <x v="1"/>
    <x v="2"/>
    <x v="3"/>
    <x v="0"/>
    <d v="2018-04-05T00:00:00"/>
    <x v="0"/>
    <x v="0"/>
    <x v="0"/>
    <x v="1"/>
  </r>
  <r>
    <x v="4"/>
    <x v="2"/>
    <x v="3"/>
    <x v="1"/>
    <x v="3"/>
    <x v="1"/>
    <x v="2"/>
    <d v="2019-03-25T00:00:00"/>
    <x v="3"/>
    <x v="4"/>
    <x v="4"/>
    <x v="0"/>
  </r>
  <r>
    <x v="2"/>
    <x v="3"/>
    <x v="2"/>
    <x v="2"/>
    <x v="4"/>
    <x v="2"/>
    <x v="2"/>
    <d v="2019-03-25T00:00:00"/>
    <x v="3"/>
    <x v="3"/>
    <x v="3"/>
    <x v="0"/>
  </r>
  <r>
    <x v="8"/>
    <x v="0"/>
    <x v="4"/>
    <x v="0"/>
    <x v="3"/>
    <x v="0"/>
    <x v="0"/>
    <d v="2018-04-05T00:00:00"/>
    <x v="0"/>
    <x v="3"/>
    <x v="3"/>
    <x v="0"/>
  </r>
  <r>
    <x v="4"/>
    <x v="0"/>
    <x v="5"/>
    <x v="2"/>
    <x v="2"/>
    <x v="2"/>
    <x v="1"/>
    <d v="2020-02-20T00:00:00"/>
    <x v="1"/>
    <x v="1"/>
    <x v="1"/>
    <x v="1"/>
  </r>
  <r>
    <x v="8"/>
    <x v="1"/>
    <x v="1"/>
    <x v="2"/>
    <x v="2"/>
    <x v="3"/>
    <x v="0"/>
    <d v="2018-04-05T00:00:00"/>
    <x v="0"/>
    <x v="1"/>
    <x v="1"/>
    <x v="1"/>
  </r>
  <r>
    <x v="1"/>
    <x v="5"/>
    <x v="1"/>
    <x v="1"/>
    <x v="3"/>
    <x v="2"/>
    <x v="2"/>
    <d v="2019-03-25T00:00:00"/>
    <x v="3"/>
    <x v="4"/>
    <x v="4"/>
    <x v="0"/>
  </r>
  <r>
    <x v="2"/>
    <x v="0"/>
    <x v="3"/>
    <x v="2"/>
    <x v="4"/>
    <x v="1"/>
    <x v="1"/>
    <d v="2020-02-20T00:00:00"/>
    <x v="1"/>
    <x v="3"/>
    <x v="3"/>
    <x v="0"/>
  </r>
  <r>
    <x v="3"/>
    <x v="2"/>
    <x v="5"/>
    <x v="2"/>
    <x v="3"/>
    <x v="2"/>
    <x v="0"/>
    <d v="2018-04-05T00:00:00"/>
    <x v="0"/>
    <x v="4"/>
    <x v="4"/>
    <x v="0"/>
  </r>
  <r>
    <x v="7"/>
    <x v="5"/>
    <x v="3"/>
    <x v="1"/>
    <x v="2"/>
    <x v="3"/>
    <x v="2"/>
    <d v="2019-12-01T00:00:00"/>
    <x v="4"/>
    <x v="1"/>
    <x v="1"/>
    <x v="1"/>
  </r>
  <r>
    <x v="6"/>
    <x v="2"/>
    <x v="5"/>
    <x v="1"/>
    <x v="2"/>
    <x v="3"/>
    <x v="2"/>
    <d v="2019-12-01T00:00:00"/>
    <x v="4"/>
    <x v="1"/>
    <x v="1"/>
    <x v="1"/>
  </r>
  <r>
    <x v="3"/>
    <x v="0"/>
    <x v="2"/>
    <x v="1"/>
    <x v="1"/>
    <x v="3"/>
    <x v="0"/>
    <d v="2018-04-05T00:00:00"/>
    <x v="0"/>
    <x v="0"/>
    <x v="0"/>
    <x v="1"/>
  </r>
  <r>
    <x v="7"/>
    <x v="0"/>
    <x v="1"/>
    <x v="1"/>
    <x v="1"/>
    <x v="1"/>
    <x v="1"/>
    <d v="2020-02-20T00:00:00"/>
    <x v="1"/>
    <x v="4"/>
    <x v="4"/>
    <x v="0"/>
  </r>
  <r>
    <x v="5"/>
    <x v="1"/>
    <x v="1"/>
    <x v="2"/>
    <x v="0"/>
    <x v="3"/>
    <x v="0"/>
    <d v="2018-04-05T00:00:00"/>
    <x v="0"/>
    <x v="4"/>
    <x v="4"/>
    <x v="0"/>
  </r>
  <r>
    <x v="9"/>
    <x v="0"/>
    <x v="2"/>
    <x v="2"/>
    <x v="2"/>
    <x v="0"/>
    <x v="0"/>
    <d v="2018-04-05T00:00:00"/>
    <x v="0"/>
    <x v="3"/>
    <x v="3"/>
    <x v="0"/>
  </r>
  <r>
    <x v="0"/>
    <x v="5"/>
    <x v="0"/>
    <x v="0"/>
    <x v="1"/>
    <x v="3"/>
    <x v="2"/>
    <d v="2019-03-25T00:00:00"/>
    <x v="3"/>
    <x v="3"/>
    <x v="3"/>
    <x v="0"/>
  </r>
  <r>
    <x v="0"/>
    <x v="5"/>
    <x v="3"/>
    <x v="0"/>
    <x v="3"/>
    <x v="2"/>
    <x v="2"/>
    <d v="2019-12-01T00:00:00"/>
    <x v="4"/>
    <x v="0"/>
    <x v="0"/>
    <x v="1"/>
  </r>
  <r>
    <x v="6"/>
    <x v="5"/>
    <x v="2"/>
    <x v="2"/>
    <x v="4"/>
    <x v="2"/>
    <x v="2"/>
    <d v="2019-03-25T00:00:00"/>
    <x v="3"/>
    <x v="2"/>
    <x v="2"/>
    <x v="0"/>
  </r>
  <r>
    <x v="2"/>
    <x v="1"/>
    <x v="3"/>
    <x v="0"/>
    <x v="3"/>
    <x v="2"/>
    <x v="2"/>
    <d v="2019-03-25T00:00:00"/>
    <x v="3"/>
    <x v="2"/>
    <x v="2"/>
    <x v="0"/>
  </r>
  <r>
    <x v="1"/>
    <x v="1"/>
    <x v="4"/>
    <x v="2"/>
    <x v="4"/>
    <x v="1"/>
    <x v="0"/>
    <d v="2018-04-05T00:00:00"/>
    <x v="0"/>
    <x v="2"/>
    <x v="2"/>
    <x v="0"/>
  </r>
  <r>
    <x v="2"/>
    <x v="0"/>
    <x v="1"/>
    <x v="0"/>
    <x v="1"/>
    <x v="2"/>
    <x v="2"/>
    <d v="2019-03-25T00:00:00"/>
    <x v="3"/>
    <x v="4"/>
    <x v="4"/>
    <x v="0"/>
  </r>
  <r>
    <x v="1"/>
    <x v="4"/>
    <x v="3"/>
    <x v="1"/>
    <x v="0"/>
    <x v="1"/>
    <x v="2"/>
    <d v="2019-12-01T00:00:00"/>
    <x v="4"/>
    <x v="4"/>
    <x v="4"/>
    <x v="0"/>
  </r>
  <r>
    <x v="2"/>
    <x v="4"/>
    <x v="5"/>
    <x v="0"/>
    <x v="3"/>
    <x v="1"/>
    <x v="2"/>
    <d v="2019-03-25T00:00:00"/>
    <x v="3"/>
    <x v="1"/>
    <x v="1"/>
    <x v="1"/>
  </r>
  <r>
    <x v="9"/>
    <x v="1"/>
    <x v="3"/>
    <x v="1"/>
    <x v="3"/>
    <x v="3"/>
    <x v="2"/>
    <d v="2019-12-01T00:00:00"/>
    <x v="4"/>
    <x v="4"/>
    <x v="4"/>
    <x v="0"/>
  </r>
  <r>
    <x v="5"/>
    <x v="0"/>
    <x v="4"/>
    <x v="1"/>
    <x v="3"/>
    <x v="0"/>
    <x v="2"/>
    <d v="2019-03-25T00:00:00"/>
    <x v="3"/>
    <x v="4"/>
    <x v="4"/>
    <x v="0"/>
  </r>
  <r>
    <x v="5"/>
    <x v="4"/>
    <x v="1"/>
    <x v="1"/>
    <x v="4"/>
    <x v="3"/>
    <x v="2"/>
    <d v="2019-12-01T00:00:00"/>
    <x v="4"/>
    <x v="4"/>
    <x v="4"/>
    <x v="0"/>
  </r>
  <r>
    <x v="7"/>
    <x v="0"/>
    <x v="2"/>
    <x v="1"/>
    <x v="1"/>
    <x v="3"/>
    <x v="2"/>
    <d v="2019-03-25T00:00:00"/>
    <x v="3"/>
    <x v="0"/>
    <x v="0"/>
    <x v="1"/>
  </r>
  <r>
    <x v="4"/>
    <x v="0"/>
    <x v="4"/>
    <x v="0"/>
    <x v="3"/>
    <x v="1"/>
    <x v="2"/>
    <d v="2019-03-25T00:00:00"/>
    <x v="3"/>
    <x v="4"/>
    <x v="4"/>
    <x v="0"/>
  </r>
  <r>
    <x v="5"/>
    <x v="0"/>
    <x v="1"/>
    <x v="2"/>
    <x v="3"/>
    <x v="1"/>
    <x v="1"/>
    <d v="2020-02-20T00:00:00"/>
    <x v="1"/>
    <x v="3"/>
    <x v="3"/>
    <x v="0"/>
  </r>
  <r>
    <x v="5"/>
    <x v="3"/>
    <x v="3"/>
    <x v="1"/>
    <x v="0"/>
    <x v="2"/>
    <x v="2"/>
    <d v="2019-12-01T00:00:00"/>
    <x v="4"/>
    <x v="3"/>
    <x v="3"/>
    <x v="0"/>
  </r>
  <r>
    <x v="3"/>
    <x v="5"/>
    <x v="0"/>
    <x v="0"/>
    <x v="0"/>
    <x v="2"/>
    <x v="2"/>
    <d v="2019-12-01T00:00:00"/>
    <x v="4"/>
    <x v="1"/>
    <x v="1"/>
    <x v="1"/>
  </r>
  <r>
    <x v="3"/>
    <x v="0"/>
    <x v="0"/>
    <x v="1"/>
    <x v="1"/>
    <x v="3"/>
    <x v="2"/>
    <d v="2019-12-01T00:00:00"/>
    <x v="4"/>
    <x v="0"/>
    <x v="0"/>
    <x v="1"/>
  </r>
  <r>
    <x v="7"/>
    <x v="3"/>
    <x v="5"/>
    <x v="0"/>
    <x v="1"/>
    <x v="4"/>
    <x v="1"/>
    <d v="2020-01-15T00:00:00"/>
    <x v="2"/>
    <x v="3"/>
    <x v="3"/>
    <x v="0"/>
  </r>
  <r>
    <x v="4"/>
    <x v="1"/>
    <x v="1"/>
    <x v="0"/>
    <x v="2"/>
    <x v="4"/>
    <x v="2"/>
    <d v="2019-03-25T00:00:00"/>
    <x v="3"/>
    <x v="0"/>
    <x v="0"/>
    <x v="1"/>
  </r>
  <r>
    <x v="6"/>
    <x v="4"/>
    <x v="0"/>
    <x v="0"/>
    <x v="0"/>
    <x v="2"/>
    <x v="2"/>
    <d v="2019-12-01T00:00:00"/>
    <x v="4"/>
    <x v="0"/>
    <x v="0"/>
    <x v="1"/>
  </r>
  <r>
    <x v="3"/>
    <x v="5"/>
    <x v="2"/>
    <x v="2"/>
    <x v="2"/>
    <x v="4"/>
    <x v="1"/>
    <d v="2020-01-15T00:00:00"/>
    <x v="2"/>
    <x v="1"/>
    <x v="1"/>
    <x v="1"/>
  </r>
  <r>
    <x v="6"/>
    <x v="4"/>
    <x v="1"/>
    <x v="0"/>
    <x v="4"/>
    <x v="2"/>
    <x v="1"/>
    <d v="2020-02-20T00:00:00"/>
    <x v="1"/>
    <x v="0"/>
    <x v="0"/>
    <x v="1"/>
  </r>
  <r>
    <x v="8"/>
    <x v="5"/>
    <x v="2"/>
    <x v="0"/>
    <x v="2"/>
    <x v="1"/>
    <x v="2"/>
    <d v="2019-12-01T00:00:00"/>
    <x v="4"/>
    <x v="4"/>
    <x v="4"/>
    <x v="0"/>
  </r>
  <r>
    <x v="3"/>
    <x v="4"/>
    <x v="2"/>
    <x v="2"/>
    <x v="3"/>
    <x v="3"/>
    <x v="2"/>
    <d v="2019-12-01T00:00:00"/>
    <x v="4"/>
    <x v="0"/>
    <x v="0"/>
    <x v="1"/>
  </r>
  <r>
    <x v="9"/>
    <x v="5"/>
    <x v="0"/>
    <x v="2"/>
    <x v="2"/>
    <x v="0"/>
    <x v="1"/>
    <d v="2020-01-15T00:00:00"/>
    <x v="2"/>
    <x v="1"/>
    <x v="1"/>
    <x v="1"/>
  </r>
  <r>
    <x v="4"/>
    <x v="4"/>
    <x v="1"/>
    <x v="0"/>
    <x v="1"/>
    <x v="3"/>
    <x v="2"/>
    <d v="2019-03-25T00:00:00"/>
    <x v="3"/>
    <x v="1"/>
    <x v="1"/>
    <x v="1"/>
  </r>
  <r>
    <x v="7"/>
    <x v="4"/>
    <x v="3"/>
    <x v="2"/>
    <x v="4"/>
    <x v="2"/>
    <x v="1"/>
    <d v="2020-02-20T00:00:00"/>
    <x v="1"/>
    <x v="1"/>
    <x v="1"/>
    <x v="1"/>
  </r>
  <r>
    <x v="8"/>
    <x v="4"/>
    <x v="4"/>
    <x v="1"/>
    <x v="3"/>
    <x v="2"/>
    <x v="2"/>
    <d v="2019-12-01T00:00:00"/>
    <x v="4"/>
    <x v="3"/>
    <x v="3"/>
    <x v="0"/>
  </r>
  <r>
    <x v="4"/>
    <x v="4"/>
    <x v="0"/>
    <x v="1"/>
    <x v="2"/>
    <x v="3"/>
    <x v="2"/>
    <d v="2019-03-25T00:00:00"/>
    <x v="3"/>
    <x v="4"/>
    <x v="4"/>
    <x v="0"/>
  </r>
  <r>
    <x v="9"/>
    <x v="1"/>
    <x v="0"/>
    <x v="2"/>
    <x v="4"/>
    <x v="2"/>
    <x v="1"/>
    <d v="2020-02-20T00:00:00"/>
    <x v="1"/>
    <x v="3"/>
    <x v="3"/>
    <x v="0"/>
  </r>
  <r>
    <x v="4"/>
    <x v="0"/>
    <x v="3"/>
    <x v="2"/>
    <x v="4"/>
    <x v="4"/>
    <x v="0"/>
    <d v="2018-04-05T00:00:00"/>
    <x v="0"/>
    <x v="2"/>
    <x v="2"/>
    <x v="0"/>
  </r>
  <r>
    <x v="9"/>
    <x v="2"/>
    <x v="1"/>
    <x v="0"/>
    <x v="3"/>
    <x v="4"/>
    <x v="0"/>
    <d v="2018-04-05T00:00:00"/>
    <x v="0"/>
    <x v="4"/>
    <x v="4"/>
    <x v="0"/>
  </r>
  <r>
    <x v="9"/>
    <x v="3"/>
    <x v="1"/>
    <x v="2"/>
    <x v="2"/>
    <x v="2"/>
    <x v="1"/>
    <d v="2020-02-20T00:00:00"/>
    <x v="1"/>
    <x v="0"/>
    <x v="0"/>
    <x v="1"/>
  </r>
  <r>
    <x v="6"/>
    <x v="2"/>
    <x v="2"/>
    <x v="0"/>
    <x v="4"/>
    <x v="2"/>
    <x v="1"/>
    <d v="2020-01-15T00:00:00"/>
    <x v="2"/>
    <x v="1"/>
    <x v="1"/>
    <x v="1"/>
  </r>
  <r>
    <x v="2"/>
    <x v="2"/>
    <x v="3"/>
    <x v="1"/>
    <x v="4"/>
    <x v="4"/>
    <x v="1"/>
    <d v="2020-02-20T00:00:00"/>
    <x v="1"/>
    <x v="2"/>
    <x v="2"/>
    <x v="0"/>
  </r>
  <r>
    <x v="8"/>
    <x v="5"/>
    <x v="3"/>
    <x v="2"/>
    <x v="0"/>
    <x v="2"/>
    <x v="1"/>
    <d v="2020-02-20T00:00:00"/>
    <x v="1"/>
    <x v="4"/>
    <x v="4"/>
    <x v="0"/>
  </r>
  <r>
    <x v="4"/>
    <x v="0"/>
    <x v="1"/>
    <x v="0"/>
    <x v="4"/>
    <x v="2"/>
    <x v="1"/>
    <d v="2020-01-15T00:00:00"/>
    <x v="2"/>
    <x v="3"/>
    <x v="3"/>
    <x v="0"/>
  </r>
  <r>
    <x v="1"/>
    <x v="5"/>
    <x v="2"/>
    <x v="0"/>
    <x v="0"/>
    <x v="3"/>
    <x v="1"/>
    <d v="2020-01-15T00:00:00"/>
    <x v="2"/>
    <x v="1"/>
    <x v="1"/>
    <x v="1"/>
  </r>
  <r>
    <x v="8"/>
    <x v="0"/>
    <x v="0"/>
    <x v="1"/>
    <x v="2"/>
    <x v="0"/>
    <x v="2"/>
    <d v="2019-03-25T00:00:00"/>
    <x v="3"/>
    <x v="3"/>
    <x v="3"/>
    <x v="0"/>
  </r>
  <r>
    <x v="2"/>
    <x v="0"/>
    <x v="5"/>
    <x v="2"/>
    <x v="2"/>
    <x v="4"/>
    <x v="2"/>
    <d v="2019-03-25T00:00:00"/>
    <x v="3"/>
    <x v="4"/>
    <x v="4"/>
    <x v="0"/>
  </r>
  <r>
    <x v="8"/>
    <x v="4"/>
    <x v="4"/>
    <x v="1"/>
    <x v="2"/>
    <x v="3"/>
    <x v="1"/>
    <d v="2020-01-15T00:00:00"/>
    <x v="2"/>
    <x v="4"/>
    <x v="4"/>
    <x v="0"/>
  </r>
  <r>
    <x v="5"/>
    <x v="1"/>
    <x v="0"/>
    <x v="0"/>
    <x v="1"/>
    <x v="0"/>
    <x v="0"/>
    <d v="2018-04-05T00:00:00"/>
    <x v="0"/>
    <x v="2"/>
    <x v="2"/>
    <x v="0"/>
  </r>
  <r>
    <x v="1"/>
    <x v="4"/>
    <x v="1"/>
    <x v="0"/>
    <x v="2"/>
    <x v="2"/>
    <x v="0"/>
    <d v="2018-04-05T00:00:00"/>
    <x v="0"/>
    <x v="0"/>
    <x v="0"/>
    <x v="1"/>
  </r>
  <r>
    <x v="2"/>
    <x v="1"/>
    <x v="4"/>
    <x v="2"/>
    <x v="4"/>
    <x v="2"/>
    <x v="1"/>
    <d v="2020-02-20T00:00:00"/>
    <x v="1"/>
    <x v="3"/>
    <x v="3"/>
    <x v="0"/>
  </r>
  <r>
    <x v="6"/>
    <x v="5"/>
    <x v="5"/>
    <x v="0"/>
    <x v="3"/>
    <x v="3"/>
    <x v="2"/>
    <d v="2019-12-01T00:00:00"/>
    <x v="4"/>
    <x v="2"/>
    <x v="2"/>
    <x v="0"/>
  </r>
  <r>
    <x v="4"/>
    <x v="1"/>
    <x v="5"/>
    <x v="2"/>
    <x v="0"/>
    <x v="2"/>
    <x v="1"/>
    <d v="2020-02-20T00:00:00"/>
    <x v="1"/>
    <x v="1"/>
    <x v="1"/>
    <x v="1"/>
  </r>
  <r>
    <x v="0"/>
    <x v="5"/>
    <x v="2"/>
    <x v="1"/>
    <x v="1"/>
    <x v="1"/>
    <x v="1"/>
    <d v="2020-02-20T00:00:00"/>
    <x v="1"/>
    <x v="0"/>
    <x v="0"/>
    <x v="1"/>
  </r>
  <r>
    <x v="2"/>
    <x v="2"/>
    <x v="4"/>
    <x v="2"/>
    <x v="2"/>
    <x v="3"/>
    <x v="2"/>
    <d v="2019-12-01T00:00:00"/>
    <x v="4"/>
    <x v="2"/>
    <x v="2"/>
    <x v="0"/>
  </r>
  <r>
    <x v="7"/>
    <x v="2"/>
    <x v="2"/>
    <x v="2"/>
    <x v="2"/>
    <x v="0"/>
    <x v="1"/>
    <d v="2020-01-15T00:00:00"/>
    <x v="2"/>
    <x v="3"/>
    <x v="3"/>
    <x v="0"/>
  </r>
  <r>
    <x v="4"/>
    <x v="1"/>
    <x v="0"/>
    <x v="0"/>
    <x v="3"/>
    <x v="3"/>
    <x v="0"/>
    <d v="2018-04-05T00:00:00"/>
    <x v="0"/>
    <x v="4"/>
    <x v="4"/>
    <x v="0"/>
  </r>
  <r>
    <x v="2"/>
    <x v="1"/>
    <x v="3"/>
    <x v="0"/>
    <x v="3"/>
    <x v="4"/>
    <x v="1"/>
    <d v="2020-02-20T00:00:00"/>
    <x v="1"/>
    <x v="1"/>
    <x v="1"/>
    <x v="1"/>
  </r>
  <r>
    <x v="5"/>
    <x v="5"/>
    <x v="3"/>
    <x v="2"/>
    <x v="1"/>
    <x v="3"/>
    <x v="2"/>
    <d v="2019-12-01T00:00:00"/>
    <x v="4"/>
    <x v="3"/>
    <x v="3"/>
    <x v="0"/>
  </r>
  <r>
    <x v="0"/>
    <x v="4"/>
    <x v="3"/>
    <x v="0"/>
    <x v="0"/>
    <x v="2"/>
    <x v="2"/>
    <d v="2019-03-25T00:00:00"/>
    <x v="3"/>
    <x v="0"/>
    <x v="0"/>
    <x v="1"/>
  </r>
  <r>
    <x v="5"/>
    <x v="5"/>
    <x v="4"/>
    <x v="0"/>
    <x v="2"/>
    <x v="2"/>
    <x v="1"/>
    <d v="2020-02-20T00:00:00"/>
    <x v="1"/>
    <x v="0"/>
    <x v="0"/>
    <x v="1"/>
  </r>
  <r>
    <x v="0"/>
    <x v="4"/>
    <x v="3"/>
    <x v="0"/>
    <x v="1"/>
    <x v="1"/>
    <x v="0"/>
    <d v="2018-04-05T00:00:00"/>
    <x v="0"/>
    <x v="4"/>
    <x v="4"/>
    <x v="0"/>
  </r>
  <r>
    <x v="7"/>
    <x v="2"/>
    <x v="0"/>
    <x v="2"/>
    <x v="4"/>
    <x v="1"/>
    <x v="1"/>
    <d v="2020-01-15T00:00:00"/>
    <x v="2"/>
    <x v="4"/>
    <x v="4"/>
    <x v="0"/>
  </r>
  <r>
    <x v="4"/>
    <x v="0"/>
    <x v="2"/>
    <x v="0"/>
    <x v="4"/>
    <x v="1"/>
    <x v="1"/>
    <d v="2020-02-20T00:00:00"/>
    <x v="1"/>
    <x v="1"/>
    <x v="1"/>
    <x v="1"/>
  </r>
  <r>
    <x v="6"/>
    <x v="1"/>
    <x v="4"/>
    <x v="2"/>
    <x v="1"/>
    <x v="0"/>
    <x v="1"/>
    <d v="2020-02-20T00:00:00"/>
    <x v="1"/>
    <x v="1"/>
    <x v="1"/>
    <x v="1"/>
  </r>
  <r>
    <x v="5"/>
    <x v="4"/>
    <x v="2"/>
    <x v="0"/>
    <x v="2"/>
    <x v="1"/>
    <x v="2"/>
    <d v="2019-12-01T00:00:00"/>
    <x v="4"/>
    <x v="4"/>
    <x v="4"/>
    <x v="0"/>
  </r>
  <r>
    <x v="5"/>
    <x v="5"/>
    <x v="4"/>
    <x v="1"/>
    <x v="1"/>
    <x v="0"/>
    <x v="2"/>
    <d v="2019-03-25T00:00:00"/>
    <x v="3"/>
    <x v="4"/>
    <x v="4"/>
    <x v="0"/>
  </r>
  <r>
    <x v="9"/>
    <x v="2"/>
    <x v="2"/>
    <x v="0"/>
    <x v="2"/>
    <x v="1"/>
    <x v="2"/>
    <d v="2019-03-25T00:00:00"/>
    <x v="3"/>
    <x v="0"/>
    <x v="0"/>
    <x v="1"/>
  </r>
  <r>
    <x v="0"/>
    <x v="4"/>
    <x v="5"/>
    <x v="0"/>
    <x v="3"/>
    <x v="0"/>
    <x v="1"/>
    <d v="2020-01-15T00:00:00"/>
    <x v="2"/>
    <x v="4"/>
    <x v="4"/>
    <x v="0"/>
  </r>
  <r>
    <x v="3"/>
    <x v="5"/>
    <x v="2"/>
    <x v="2"/>
    <x v="1"/>
    <x v="3"/>
    <x v="0"/>
    <d v="2018-04-05T00:00:00"/>
    <x v="0"/>
    <x v="2"/>
    <x v="2"/>
    <x v="0"/>
  </r>
  <r>
    <x v="4"/>
    <x v="1"/>
    <x v="3"/>
    <x v="2"/>
    <x v="2"/>
    <x v="3"/>
    <x v="1"/>
    <d v="2020-01-15T00:00:00"/>
    <x v="2"/>
    <x v="3"/>
    <x v="3"/>
    <x v="0"/>
  </r>
  <r>
    <x v="0"/>
    <x v="1"/>
    <x v="5"/>
    <x v="0"/>
    <x v="1"/>
    <x v="2"/>
    <x v="1"/>
    <d v="2020-02-20T00:00:00"/>
    <x v="1"/>
    <x v="4"/>
    <x v="4"/>
    <x v="0"/>
  </r>
  <r>
    <x v="9"/>
    <x v="3"/>
    <x v="2"/>
    <x v="1"/>
    <x v="1"/>
    <x v="0"/>
    <x v="1"/>
    <d v="2020-02-20T00:00:00"/>
    <x v="1"/>
    <x v="1"/>
    <x v="1"/>
    <x v="1"/>
  </r>
  <r>
    <x v="8"/>
    <x v="0"/>
    <x v="4"/>
    <x v="0"/>
    <x v="2"/>
    <x v="4"/>
    <x v="2"/>
    <d v="2019-03-25T00:00:00"/>
    <x v="3"/>
    <x v="2"/>
    <x v="2"/>
    <x v="0"/>
  </r>
  <r>
    <x v="0"/>
    <x v="3"/>
    <x v="4"/>
    <x v="0"/>
    <x v="2"/>
    <x v="2"/>
    <x v="0"/>
    <d v="2018-04-05T00:00:00"/>
    <x v="0"/>
    <x v="1"/>
    <x v="1"/>
    <x v="1"/>
  </r>
  <r>
    <x v="6"/>
    <x v="2"/>
    <x v="4"/>
    <x v="1"/>
    <x v="0"/>
    <x v="3"/>
    <x v="2"/>
    <d v="2019-12-01T00:00:00"/>
    <x v="4"/>
    <x v="2"/>
    <x v="2"/>
    <x v="0"/>
  </r>
  <r>
    <x v="4"/>
    <x v="4"/>
    <x v="1"/>
    <x v="2"/>
    <x v="1"/>
    <x v="0"/>
    <x v="0"/>
    <d v="2018-04-05T00:00:00"/>
    <x v="0"/>
    <x v="4"/>
    <x v="4"/>
    <x v="0"/>
  </r>
  <r>
    <x v="9"/>
    <x v="2"/>
    <x v="0"/>
    <x v="0"/>
    <x v="4"/>
    <x v="1"/>
    <x v="1"/>
    <d v="2020-02-20T00:00:00"/>
    <x v="1"/>
    <x v="3"/>
    <x v="3"/>
    <x v="0"/>
  </r>
  <r>
    <x v="8"/>
    <x v="5"/>
    <x v="4"/>
    <x v="2"/>
    <x v="1"/>
    <x v="4"/>
    <x v="2"/>
    <d v="2019-12-01T00:00:00"/>
    <x v="4"/>
    <x v="1"/>
    <x v="1"/>
    <x v="1"/>
  </r>
  <r>
    <x v="1"/>
    <x v="1"/>
    <x v="5"/>
    <x v="2"/>
    <x v="1"/>
    <x v="3"/>
    <x v="0"/>
    <d v="2018-04-05T00:00:00"/>
    <x v="0"/>
    <x v="2"/>
    <x v="2"/>
    <x v="0"/>
  </r>
  <r>
    <x v="9"/>
    <x v="3"/>
    <x v="4"/>
    <x v="1"/>
    <x v="2"/>
    <x v="2"/>
    <x v="0"/>
    <d v="2018-04-05T00:00:00"/>
    <x v="0"/>
    <x v="0"/>
    <x v="0"/>
    <x v="1"/>
  </r>
  <r>
    <x v="1"/>
    <x v="3"/>
    <x v="1"/>
    <x v="1"/>
    <x v="1"/>
    <x v="0"/>
    <x v="2"/>
    <d v="2019-12-01T00:00:00"/>
    <x v="4"/>
    <x v="4"/>
    <x v="4"/>
    <x v="0"/>
  </r>
  <r>
    <x v="4"/>
    <x v="3"/>
    <x v="3"/>
    <x v="2"/>
    <x v="1"/>
    <x v="4"/>
    <x v="1"/>
    <d v="2020-02-20T00:00:00"/>
    <x v="1"/>
    <x v="3"/>
    <x v="3"/>
    <x v="0"/>
  </r>
  <r>
    <x v="5"/>
    <x v="2"/>
    <x v="5"/>
    <x v="0"/>
    <x v="4"/>
    <x v="0"/>
    <x v="0"/>
    <d v="2018-04-05T00:00:00"/>
    <x v="0"/>
    <x v="4"/>
    <x v="4"/>
    <x v="0"/>
  </r>
  <r>
    <x v="9"/>
    <x v="1"/>
    <x v="1"/>
    <x v="2"/>
    <x v="2"/>
    <x v="1"/>
    <x v="2"/>
    <d v="2019-12-01T00:00:00"/>
    <x v="4"/>
    <x v="0"/>
    <x v="0"/>
    <x v="1"/>
  </r>
  <r>
    <x v="7"/>
    <x v="4"/>
    <x v="3"/>
    <x v="0"/>
    <x v="1"/>
    <x v="2"/>
    <x v="1"/>
    <d v="2020-02-20T00:00:00"/>
    <x v="1"/>
    <x v="3"/>
    <x v="3"/>
    <x v="0"/>
  </r>
  <r>
    <x v="1"/>
    <x v="5"/>
    <x v="5"/>
    <x v="0"/>
    <x v="3"/>
    <x v="0"/>
    <x v="2"/>
    <d v="2019-12-01T00:00:00"/>
    <x v="4"/>
    <x v="0"/>
    <x v="0"/>
    <x v="1"/>
  </r>
  <r>
    <x v="6"/>
    <x v="4"/>
    <x v="2"/>
    <x v="1"/>
    <x v="0"/>
    <x v="3"/>
    <x v="2"/>
    <d v="2019-12-01T00:00:00"/>
    <x v="4"/>
    <x v="4"/>
    <x v="4"/>
    <x v="0"/>
  </r>
  <r>
    <x v="7"/>
    <x v="2"/>
    <x v="0"/>
    <x v="0"/>
    <x v="4"/>
    <x v="2"/>
    <x v="0"/>
    <d v="2018-04-05T00:00:00"/>
    <x v="0"/>
    <x v="2"/>
    <x v="2"/>
    <x v="0"/>
  </r>
  <r>
    <x v="2"/>
    <x v="5"/>
    <x v="0"/>
    <x v="0"/>
    <x v="1"/>
    <x v="3"/>
    <x v="1"/>
    <d v="2020-02-20T00:00:00"/>
    <x v="1"/>
    <x v="4"/>
    <x v="4"/>
    <x v="0"/>
  </r>
  <r>
    <x v="2"/>
    <x v="3"/>
    <x v="1"/>
    <x v="2"/>
    <x v="3"/>
    <x v="0"/>
    <x v="0"/>
    <d v="2018-04-05T00:00:00"/>
    <x v="0"/>
    <x v="4"/>
    <x v="4"/>
    <x v="0"/>
  </r>
  <r>
    <x v="8"/>
    <x v="0"/>
    <x v="3"/>
    <x v="1"/>
    <x v="1"/>
    <x v="2"/>
    <x v="1"/>
    <d v="2020-01-15T00:00:00"/>
    <x v="2"/>
    <x v="4"/>
    <x v="4"/>
    <x v="0"/>
  </r>
  <r>
    <x v="5"/>
    <x v="2"/>
    <x v="0"/>
    <x v="0"/>
    <x v="1"/>
    <x v="3"/>
    <x v="1"/>
    <d v="2020-01-15T00:00:00"/>
    <x v="2"/>
    <x v="1"/>
    <x v="1"/>
    <x v="1"/>
  </r>
  <r>
    <x v="4"/>
    <x v="2"/>
    <x v="3"/>
    <x v="0"/>
    <x v="2"/>
    <x v="1"/>
    <x v="1"/>
    <d v="2020-02-20T00:00:00"/>
    <x v="1"/>
    <x v="0"/>
    <x v="0"/>
    <x v="1"/>
  </r>
  <r>
    <x v="9"/>
    <x v="1"/>
    <x v="3"/>
    <x v="1"/>
    <x v="2"/>
    <x v="1"/>
    <x v="2"/>
    <d v="2019-12-01T00:00:00"/>
    <x v="4"/>
    <x v="0"/>
    <x v="0"/>
    <x v="1"/>
  </r>
  <r>
    <x v="3"/>
    <x v="4"/>
    <x v="1"/>
    <x v="2"/>
    <x v="2"/>
    <x v="0"/>
    <x v="0"/>
    <d v="2018-04-05T00:00:00"/>
    <x v="0"/>
    <x v="0"/>
    <x v="0"/>
    <x v="1"/>
  </r>
  <r>
    <x v="6"/>
    <x v="2"/>
    <x v="1"/>
    <x v="1"/>
    <x v="3"/>
    <x v="2"/>
    <x v="0"/>
    <d v="2018-04-05T00:00:00"/>
    <x v="0"/>
    <x v="1"/>
    <x v="1"/>
    <x v="1"/>
  </r>
  <r>
    <x v="1"/>
    <x v="2"/>
    <x v="1"/>
    <x v="1"/>
    <x v="1"/>
    <x v="4"/>
    <x v="1"/>
    <d v="2020-02-20T00:00:00"/>
    <x v="1"/>
    <x v="2"/>
    <x v="2"/>
    <x v="0"/>
  </r>
  <r>
    <x v="4"/>
    <x v="3"/>
    <x v="0"/>
    <x v="0"/>
    <x v="0"/>
    <x v="2"/>
    <x v="1"/>
    <d v="2020-02-20T00:00:00"/>
    <x v="1"/>
    <x v="4"/>
    <x v="4"/>
    <x v="0"/>
  </r>
  <r>
    <x v="7"/>
    <x v="3"/>
    <x v="1"/>
    <x v="0"/>
    <x v="4"/>
    <x v="1"/>
    <x v="1"/>
    <d v="2020-01-15T00:00:00"/>
    <x v="2"/>
    <x v="2"/>
    <x v="2"/>
    <x v="0"/>
  </r>
  <r>
    <x v="2"/>
    <x v="5"/>
    <x v="0"/>
    <x v="2"/>
    <x v="2"/>
    <x v="3"/>
    <x v="2"/>
    <d v="2019-03-25T00:00:00"/>
    <x v="3"/>
    <x v="1"/>
    <x v="1"/>
    <x v="1"/>
  </r>
  <r>
    <x v="6"/>
    <x v="0"/>
    <x v="1"/>
    <x v="0"/>
    <x v="2"/>
    <x v="4"/>
    <x v="1"/>
    <d v="2020-02-20T00:00:00"/>
    <x v="1"/>
    <x v="0"/>
    <x v="0"/>
    <x v="1"/>
  </r>
  <r>
    <x v="3"/>
    <x v="1"/>
    <x v="4"/>
    <x v="0"/>
    <x v="1"/>
    <x v="0"/>
    <x v="2"/>
    <d v="2019-03-25T00:00:00"/>
    <x v="3"/>
    <x v="4"/>
    <x v="4"/>
    <x v="0"/>
  </r>
  <r>
    <x v="9"/>
    <x v="0"/>
    <x v="3"/>
    <x v="1"/>
    <x v="1"/>
    <x v="4"/>
    <x v="1"/>
    <d v="2020-02-20T00:00:00"/>
    <x v="1"/>
    <x v="3"/>
    <x v="3"/>
    <x v="0"/>
  </r>
  <r>
    <x v="8"/>
    <x v="5"/>
    <x v="1"/>
    <x v="0"/>
    <x v="3"/>
    <x v="0"/>
    <x v="2"/>
    <d v="2019-12-01T00:00:00"/>
    <x v="4"/>
    <x v="3"/>
    <x v="3"/>
    <x v="0"/>
  </r>
  <r>
    <x v="3"/>
    <x v="3"/>
    <x v="5"/>
    <x v="2"/>
    <x v="3"/>
    <x v="4"/>
    <x v="2"/>
    <d v="2019-12-01T00:00:00"/>
    <x v="4"/>
    <x v="2"/>
    <x v="2"/>
    <x v="0"/>
  </r>
  <r>
    <x v="6"/>
    <x v="4"/>
    <x v="3"/>
    <x v="1"/>
    <x v="2"/>
    <x v="0"/>
    <x v="1"/>
    <d v="2020-01-15T00:00:00"/>
    <x v="2"/>
    <x v="0"/>
    <x v="0"/>
    <x v="1"/>
  </r>
  <r>
    <x v="3"/>
    <x v="3"/>
    <x v="3"/>
    <x v="2"/>
    <x v="1"/>
    <x v="0"/>
    <x v="1"/>
    <d v="2020-01-15T00:00:00"/>
    <x v="2"/>
    <x v="3"/>
    <x v="3"/>
    <x v="0"/>
  </r>
  <r>
    <x v="6"/>
    <x v="1"/>
    <x v="1"/>
    <x v="1"/>
    <x v="0"/>
    <x v="4"/>
    <x v="2"/>
    <d v="2019-03-25T00:00:00"/>
    <x v="3"/>
    <x v="2"/>
    <x v="2"/>
    <x v="0"/>
  </r>
  <r>
    <x v="6"/>
    <x v="3"/>
    <x v="2"/>
    <x v="0"/>
    <x v="4"/>
    <x v="4"/>
    <x v="1"/>
    <d v="2020-02-20T00:00:00"/>
    <x v="1"/>
    <x v="1"/>
    <x v="1"/>
    <x v="1"/>
  </r>
  <r>
    <x v="0"/>
    <x v="1"/>
    <x v="1"/>
    <x v="1"/>
    <x v="1"/>
    <x v="0"/>
    <x v="0"/>
    <d v="2018-04-05T00:00:00"/>
    <x v="0"/>
    <x v="2"/>
    <x v="2"/>
    <x v="0"/>
  </r>
  <r>
    <x v="1"/>
    <x v="1"/>
    <x v="3"/>
    <x v="1"/>
    <x v="1"/>
    <x v="1"/>
    <x v="1"/>
    <d v="2020-01-15T00:00:00"/>
    <x v="2"/>
    <x v="2"/>
    <x v="2"/>
    <x v="0"/>
  </r>
  <r>
    <x v="2"/>
    <x v="1"/>
    <x v="5"/>
    <x v="0"/>
    <x v="3"/>
    <x v="4"/>
    <x v="0"/>
    <d v="2018-04-05T00:00:00"/>
    <x v="0"/>
    <x v="2"/>
    <x v="2"/>
    <x v="0"/>
  </r>
  <r>
    <x v="0"/>
    <x v="5"/>
    <x v="3"/>
    <x v="0"/>
    <x v="4"/>
    <x v="2"/>
    <x v="0"/>
    <d v="2018-04-05T00:00:00"/>
    <x v="0"/>
    <x v="4"/>
    <x v="4"/>
    <x v="0"/>
  </r>
  <r>
    <x v="9"/>
    <x v="1"/>
    <x v="5"/>
    <x v="2"/>
    <x v="2"/>
    <x v="3"/>
    <x v="1"/>
    <d v="2020-02-20T00:00:00"/>
    <x v="1"/>
    <x v="2"/>
    <x v="2"/>
    <x v="0"/>
  </r>
  <r>
    <x v="0"/>
    <x v="1"/>
    <x v="0"/>
    <x v="2"/>
    <x v="1"/>
    <x v="0"/>
    <x v="2"/>
    <d v="2019-03-25T00:00:00"/>
    <x v="3"/>
    <x v="2"/>
    <x v="2"/>
    <x v="0"/>
  </r>
  <r>
    <x v="5"/>
    <x v="4"/>
    <x v="4"/>
    <x v="0"/>
    <x v="2"/>
    <x v="0"/>
    <x v="1"/>
    <d v="2020-02-20T00:00:00"/>
    <x v="1"/>
    <x v="4"/>
    <x v="4"/>
    <x v="0"/>
  </r>
  <r>
    <x v="5"/>
    <x v="0"/>
    <x v="3"/>
    <x v="0"/>
    <x v="1"/>
    <x v="3"/>
    <x v="1"/>
    <d v="2020-01-15T00:00:00"/>
    <x v="2"/>
    <x v="4"/>
    <x v="4"/>
    <x v="0"/>
  </r>
  <r>
    <x v="2"/>
    <x v="2"/>
    <x v="1"/>
    <x v="0"/>
    <x v="2"/>
    <x v="1"/>
    <x v="0"/>
    <d v="2018-04-05T00:00:00"/>
    <x v="0"/>
    <x v="1"/>
    <x v="1"/>
    <x v="1"/>
  </r>
  <r>
    <x v="3"/>
    <x v="0"/>
    <x v="0"/>
    <x v="1"/>
    <x v="4"/>
    <x v="3"/>
    <x v="1"/>
    <d v="2020-02-20T00:00:00"/>
    <x v="1"/>
    <x v="0"/>
    <x v="0"/>
    <x v="1"/>
  </r>
  <r>
    <x v="1"/>
    <x v="1"/>
    <x v="4"/>
    <x v="1"/>
    <x v="3"/>
    <x v="4"/>
    <x v="1"/>
    <d v="2020-02-20T00:00:00"/>
    <x v="1"/>
    <x v="3"/>
    <x v="3"/>
    <x v="0"/>
  </r>
  <r>
    <x v="2"/>
    <x v="4"/>
    <x v="1"/>
    <x v="1"/>
    <x v="4"/>
    <x v="3"/>
    <x v="1"/>
    <d v="2020-02-20T00:00:00"/>
    <x v="1"/>
    <x v="3"/>
    <x v="3"/>
    <x v="0"/>
  </r>
  <r>
    <x v="6"/>
    <x v="3"/>
    <x v="2"/>
    <x v="0"/>
    <x v="0"/>
    <x v="0"/>
    <x v="1"/>
    <d v="2020-01-15T00:00:00"/>
    <x v="2"/>
    <x v="2"/>
    <x v="2"/>
    <x v="0"/>
  </r>
  <r>
    <x v="7"/>
    <x v="4"/>
    <x v="1"/>
    <x v="2"/>
    <x v="3"/>
    <x v="3"/>
    <x v="2"/>
    <d v="2019-03-25T00:00:00"/>
    <x v="3"/>
    <x v="1"/>
    <x v="1"/>
    <x v="1"/>
  </r>
  <r>
    <x v="1"/>
    <x v="1"/>
    <x v="5"/>
    <x v="0"/>
    <x v="4"/>
    <x v="2"/>
    <x v="1"/>
    <d v="2020-02-20T00:00:00"/>
    <x v="1"/>
    <x v="2"/>
    <x v="2"/>
    <x v="0"/>
  </r>
  <r>
    <x v="1"/>
    <x v="4"/>
    <x v="5"/>
    <x v="1"/>
    <x v="0"/>
    <x v="4"/>
    <x v="1"/>
    <d v="2020-01-15T00:00:00"/>
    <x v="2"/>
    <x v="3"/>
    <x v="3"/>
    <x v="0"/>
  </r>
  <r>
    <x v="6"/>
    <x v="4"/>
    <x v="2"/>
    <x v="1"/>
    <x v="1"/>
    <x v="3"/>
    <x v="0"/>
    <d v="2018-04-05T00:00:00"/>
    <x v="0"/>
    <x v="4"/>
    <x v="4"/>
    <x v="0"/>
  </r>
  <r>
    <x v="6"/>
    <x v="1"/>
    <x v="0"/>
    <x v="0"/>
    <x v="1"/>
    <x v="0"/>
    <x v="2"/>
    <d v="2019-12-01T00:00:00"/>
    <x v="4"/>
    <x v="0"/>
    <x v="0"/>
    <x v="1"/>
  </r>
  <r>
    <x v="8"/>
    <x v="5"/>
    <x v="4"/>
    <x v="0"/>
    <x v="2"/>
    <x v="4"/>
    <x v="1"/>
    <d v="2020-01-15T00:00:00"/>
    <x v="2"/>
    <x v="1"/>
    <x v="1"/>
    <x v="1"/>
  </r>
  <r>
    <x v="2"/>
    <x v="4"/>
    <x v="1"/>
    <x v="1"/>
    <x v="3"/>
    <x v="0"/>
    <x v="2"/>
    <d v="2019-12-01T00:00:00"/>
    <x v="4"/>
    <x v="4"/>
    <x v="4"/>
    <x v="0"/>
  </r>
  <r>
    <x v="6"/>
    <x v="2"/>
    <x v="5"/>
    <x v="1"/>
    <x v="1"/>
    <x v="1"/>
    <x v="1"/>
    <d v="2020-02-20T00:00:00"/>
    <x v="1"/>
    <x v="0"/>
    <x v="0"/>
    <x v="1"/>
  </r>
  <r>
    <x v="5"/>
    <x v="2"/>
    <x v="0"/>
    <x v="1"/>
    <x v="3"/>
    <x v="2"/>
    <x v="1"/>
    <d v="2020-02-20T00:00:00"/>
    <x v="1"/>
    <x v="1"/>
    <x v="1"/>
    <x v="1"/>
  </r>
  <r>
    <x v="9"/>
    <x v="4"/>
    <x v="2"/>
    <x v="0"/>
    <x v="1"/>
    <x v="1"/>
    <x v="1"/>
    <d v="2020-01-15T00:00:00"/>
    <x v="2"/>
    <x v="1"/>
    <x v="1"/>
    <x v="1"/>
  </r>
  <r>
    <x v="7"/>
    <x v="5"/>
    <x v="3"/>
    <x v="1"/>
    <x v="2"/>
    <x v="2"/>
    <x v="2"/>
    <d v="2019-12-01T00:00:00"/>
    <x v="4"/>
    <x v="3"/>
    <x v="3"/>
    <x v="0"/>
  </r>
  <r>
    <x v="2"/>
    <x v="3"/>
    <x v="5"/>
    <x v="1"/>
    <x v="4"/>
    <x v="3"/>
    <x v="1"/>
    <d v="2020-02-20T00:00:00"/>
    <x v="1"/>
    <x v="4"/>
    <x v="4"/>
    <x v="0"/>
  </r>
  <r>
    <x v="4"/>
    <x v="1"/>
    <x v="2"/>
    <x v="2"/>
    <x v="2"/>
    <x v="4"/>
    <x v="0"/>
    <d v="2018-04-05T00:00:00"/>
    <x v="0"/>
    <x v="1"/>
    <x v="1"/>
    <x v="1"/>
  </r>
  <r>
    <x v="5"/>
    <x v="2"/>
    <x v="1"/>
    <x v="0"/>
    <x v="0"/>
    <x v="3"/>
    <x v="2"/>
    <d v="2019-03-25T00:00:00"/>
    <x v="3"/>
    <x v="1"/>
    <x v="1"/>
    <x v="1"/>
  </r>
  <r>
    <x v="3"/>
    <x v="3"/>
    <x v="4"/>
    <x v="2"/>
    <x v="1"/>
    <x v="2"/>
    <x v="2"/>
    <d v="2019-03-25T00:00:00"/>
    <x v="3"/>
    <x v="0"/>
    <x v="0"/>
    <x v="1"/>
  </r>
  <r>
    <x v="6"/>
    <x v="4"/>
    <x v="5"/>
    <x v="2"/>
    <x v="0"/>
    <x v="2"/>
    <x v="1"/>
    <d v="2020-02-20T00:00:00"/>
    <x v="1"/>
    <x v="3"/>
    <x v="3"/>
    <x v="0"/>
  </r>
  <r>
    <x v="4"/>
    <x v="3"/>
    <x v="5"/>
    <x v="1"/>
    <x v="0"/>
    <x v="2"/>
    <x v="2"/>
    <d v="2019-12-01T00:00:00"/>
    <x v="4"/>
    <x v="2"/>
    <x v="2"/>
    <x v="0"/>
  </r>
  <r>
    <x v="6"/>
    <x v="0"/>
    <x v="1"/>
    <x v="0"/>
    <x v="3"/>
    <x v="0"/>
    <x v="1"/>
    <d v="2020-02-20T00:00:00"/>
    <x v="1"/>
    <x v="3"/>
    <x v="3"/>
    <x v="0"/>
  </r>
  <r>
    <x v="1"/>
    <x v="2"/>
    <x v="3"/>
    <x v="1"/>
    <x v="1"/>
    <x v="4"/>
    <x v="2"/>
    <d v="2019-12-01T00:00:00"/>
    <x v="4"/>
    <x v="2"/>
    <x v="2"/>
    <x v="0"/>
  </r>
  <r>
    <x v="5"/>
    <x v="4"/>
    <x v="0"/>
    <x v="0"/>
    <x v="0"/>
    <x v="3"/>
    <x v="0"/>
    <d v="2018-04-05T00:00:00"/>
    <x v="0"/>
    <x v="4"/>
    <x v="4"/>
    <x v="0"/>
  </r>
  <r>
    <x v="1"/>
    <x v="1"/>
    <x v="4"/>
    <x v="2"/>
    <x v="4"/>
    <x v="3"/>
    <x v="2"/>
    <d v="2019-12-01T00:00:00"/>
    <x v="4"/>
    <x v="4"/>
    <x v="4"/>
    <x v="0"/>
  </r>
  <r>
    <x v="8"/>
    <x v="5"/>
    <x v="5"/>
    <x v="0"/>
    <x v="0"/>
    <x v="1"/>
    <x v="1"/>
    <d v="2020-02-20T00:00:00"/>
    <x v="1"/>
    <x v="1"/>
    <x v="1"/>
    <x v="1"/>
  </r>
  <r>
    <x v="1"/>
    <x v="4"/>
    <x v="4"/>
    <x v="1"/>
    <x v="4"/>
    <x v="2"/>
    <x v="0"/>
    <d v="2018-04-05T00:00:00"/>
    <x v="0"/>
    <x v="4"/>
    <x v="4"/>
    <x v="0"/>
  </r>
  <r>
    <x v="8"/>
    <x v="1"/>
    <x v="5"/>
    <x v="1"/>
    <x v="3"/>
    <x v="2"/>
    <x v="1"/>
    <d v="2020-01-15T00:00:00"/>
    <x v="2"/>
    <x v="1"/>
    <x v="1"/>
    <x v="1"/>
  </r>
  <r>
    <x v="8"/>
    <x v="5"/>
    <x v="4"/>
    <x v="1"/>
    <x v="0"/>
    <x v="2"/>
    <x v="2"/>
    <d v="2019-03-25T00:00:00"/>
    <x v="3"/>
    <x v="3"/>
    <x v="3"/>
    <x v="0"/>
  </r>
  <r>
    <x v="4"/>
    <x v="5"/>
    <x v="2"/>
    <x v="0"/>
    <x v="2"/>
    <x v="3"/>
    <x v="1"/>
    <d v="2020-02-20T00:00:00"/>
    <x v="1"/>
    <x v="4"/>
    <x v="4"/>
    <x v="0"/>
  </r>
  <r>
    <x v="6"/>
    <x v="4"/>
    <x v="5"/>
    <x v="2"/>
    <x v="3"/>
    <x v="1"/>
    <x v="1"/>
    <d v="2020-02-20T00:00:00"/>
    <x v="1"/>
    <x v="3"/>
    <x v="3"/>
    <x v="0"/>
  </r>
  <r>
    <x v="3"/>
    <x v="3"/>
    <x v="4"/>
    <x v="2"/>
    <x v="4"/>
    <x v="0"/>
    <x v="1"/>
    <d v="2020-02-20T00:00:00"/>
    <x v="1"/>
    <x v="3"/>
    <x v="3"/>
    <x v="0"/>
  </r>
  <r>
    <x v="1"/>
    <x v="3"/>
    <x v="0"/>
    <x v="0"/>
    <x v="3"/>
    <x v="4"/>
    <x v="0"/>
    <d v="2018-04-05T00:00:00"/>
    <x v="0"/>
    <x v="4"/>
    <x v="4"/>
    <x v="0"/>
  </r>
  <r>
    <x v="5"/>
    <x v="5"/>
    <x v="2"/>
    <x v="1"/>
    <x v="0"/>
    <x v="0"/>
    <x v="1"/>
    <d v="2020-01-15T00:00:00"/>
    <x v="2"/>
    <x v="3"/>
    <x v="3"/>
    <x v="0"/>
  </r>
  <r>
    <x v="8"/>
    <x v="3"/>
    <x v="2"/>
    <x v="2"/>
    <x v="1"/>
    <x v="3"/>
    <x v="2"/>
    <d v="2019-12-01T00:00:00"/>
    <x v="4"/>
    <x v="4"/>
    <x v="4"/>
    <x v="0"/>
  </r>
  <r>
    <x v="6"/>
    <x v="0"/>
    <x v="0"/>
    <x v="1"/>
    <x v="1"/>
    <x v="2"/>
    <x v="1"/>
    <d v="2020-01-15T00:00:00"/>
    <x v="2"/>
    <x v="4"/>
    <x v="4"/>
    <x v="0"/>
  </r>
  <r>
    <x v="7"/>
    <x v="5"/>
    <x v="4"/>
    <x v="0"/>
    <x v="4"/>
    <x v="4"/>
    <x v="0"/>
    <d v="2018-04-05T00:00:00"/>
    <x v="0"/>
    <x v="4"/>
    <x v="4"/>
    <x v="0"/>
  </r>
  <r>
    <x v="2"/>
    <x v="5"/>
    <x v="1"/>
    <x v="1"/>
    <x v="4"/>
    <x v="3"/>
    <x v="1"/>
    <d v="2020-02-20T00:00:00"/>
    <x v="1"/>
    <x v="2"/>
    <x v="2"/>
    <x v="0"/>
  </r>
  <r>
    <x v="4"/>
    <x v="1"/>
    <x v="0"/>
    <x v="2"/>
    <x v="1"/>
    <x v="3"/>
    <x v="2"/>
    <d v="2019-03-25T00:00:00"/>
    <x v="3"/>
    <x v="3"/>
    <x v="3"/>
    <x v="0"/>
  </r>
  <r>
    <x v="3"/>
    <x v="3"/>
    <x v="4"/>
    <x v="2"/>
    <x v="4"/>
    <x v="3"/>
    <x v="1"/>
    <d v="2020-02-20T00:00:00"/>
    <x v="1"/>
    <x v="0"/>
    <x v="0"/>
    <x v="1"/>
  </r>
  <r>
    <x v="0"/>
    <x v="5"/>
    <x v="0"/>
    <x v="1"/>
    <x v="3"/>
    <x v="4"/>
    <x v="2"/>
    <d v="2019-12-01T00:00:00"/>
    <x v="4"/>
    <x v="4"/>
    <x v="4"/>
    <x v="0"/>
  </r>
  <r>
    <x v="4"/>
    <x v="0"/>
    <x v="0"/>
    <x v="0"/>
    <x v="2"/>
    <x v="4"/>
    <x v="2"/>
    <d v="2019-03-25T00:00:00"/>
    <x v="3"/>
    <x v="3"/>
    <x v="3"/>
    <x v="0"/>
  </r>
  <r>
    <x v="7"/>
    <x v="1"/>
    <x v="5"/>
    <x v="1"/>
    <x v="2"/>
    <x v="1"/>
    <x v="1"/>
    <d v="2020-02-20T00:00:00"/>
    <x v="1"/>
    <x v="1"/>
    <x v="1"/>
    <x v="1"/>
  </r>
  <r>
    <x v="2"/>
    <x v="4"/>
    <x v="4"/>
    <x v="0"/>
    <x v="3"/>
    <x v="1"/>
    <x v="2"/>
    <d v="2019-03-25T00:00:00"/>
    <x v="3"/>
    <x v="4"/>
    <x v="4"/>
    <x v="0"/>
  </r>
  <r>
    <x v="7"/>
    <x v="5"/>
    <x v="1"/>
    <x v="1"/>
    <x v="2"/>
    <x v="0"/>
    <x v="1"/>
    <d v="2020-01-15T00:00:00"/>
    <x v="2"/>
    <x v="4"/>
    <x v="4"/>
    <x v="0"/>
  </r>
  <r>
    <x v="1"/>
    <x v="0"/>
    <x v="5"/>
    <x v="2"/>
    <x v="0"/>
    <x v="4"/>
    <x v="0"/>
    <d v="2018-04-05T00:00:00"/>
    <x v="0"/>
    <x v="0"/>
    <x v="0"/>
    <x v="1"/>
  </r>
  <r>
    <x v="8"/>
    <x v="2"/>
    <x v="0"/>
    <x v="0"/>
    <x v="3"/>
    <x v="4"/>
    <x v="1"/>
    <d v="2020-02-20T00:00:00"/>
    <x v="1"/>
    <x v="2"/>
    <x v="2"/>
    <x v="0"/>
  </r>
  <r>
    <x v="3"/>
    <x v="0"/>
    <x v="3"/>
    <x v="0"/>
    <x v="4"/>
    <x v="4"/>
    <x v="2"/>
    <d v="2019-12-01T00:00:00"/>
    <x v="4"/>
    <x v="2"/>
    <x v="2"/>
    <x v="0"/>
  </r>
  <r>
    <x v="9"/>
    <x v="0"/>
    <x v="0"/>
    <x v="0"/>
    <x v="3"/>
    <x v="1"/>
    <x v="1"/>
    <d v="2020-01-15T00:00:00"/>
    <x v="2"/>
    <x v="4"/>
    <x v="4"/>
    <x v="0"/>
  </r>
  <r>
    <x v="8"/>
    <x v="1"/>
    <x v="0"/>
    <x v="2"/>
    <x v="1"/>
    <x v="3"/>
    <x v="1"/>
    <d v="2020-02-20T00:00:00"/>
    <x v="1"/>
    <x v="3"/>
    <x v="3"/>
    <x v="0"/>
  </r>
  <r>
    <x v="9"/>
    <x v="4"/>
    <x v="4"/>
    <x v="1"/>
    <x v="4"/>
    <x v="2"/>
    <x v="1"/>
    <d v="2020-01-15T00:00:00"/>
    <x v="2"/>
    <x v="1"/>
    <x v="1"/>
    <x v="1"/>
  </r>
  <r>
    <x v="2"/>
    <x v="2"/>
    <x v="4"/>
    <x v="2"/>
    <x v="1"/>
    <x v="1"/>
    <x v="2"/>
    <d v="2019-12-01T00:00:00"/>
    <x v="4"/>
    <x v="1"/>
    <x v="1"/>
    <x v="1"/>
  </r>
  <r>
    <x v="6"/>
    <x v="3"/>
    <x v="5"/>
    <x v="0"/>
    <x v="4"/>
    <x v="4"/>
    <x v="1"/>
    <d v="2020-02-20T00:00:00"/>
    <x v="1"/>
    <x v="3"/>
    <x v="3"/>
    <x v="0"/>
  </r>
  <r>
    <x v="0"/>
    <x v="3"/>
    <x v="1"/>
    <x v="1"/>
    <x v="2"/>
    <x v="1"/>
    <x v="2"/>
    <d v="2019-12-01T00:00:00"/>
    <x v="4"/>
    <x v="4"/>
    <x v="4"/>
    <x v="0"/>
  </r>
  <r>
    <x v="5"/>
    <x v="0"/>
    <x v="5"/>
    <x v="2"/>
    <x v="3"/>
    <x v="0"/>
    <x v="2"/>
    <d v="2019-03-25T00:00:00"/>
    <x v="3"/>
    <x v="1"/>
    <x v="1"/>
    <x v="1"/>
  </r>
  <r>
    <x v="8"/>
    <x v="1"/>
    <x v="2"/>
    <x v="0"/>
    <x v="0"/>
    <x v="4"/>
    <x v="2"/>
    <d v="2019-12-01T00:00:00"/>
    <x v="4"/>
    <x v="2"/>
    <x v="2"/>
    <x v="0"/>
  </r>
  <r>
    <x v="3"/>
    <x v="1"/>
    <x v="0"/>
    <x v="0"/>
    <x v="4"/>
    <x v="0"/>
    <x v="2"/>
    <d v="2019-03-25T00:00:00"/>
    <x v="3"/>
    <x v="3"/>
    <x v="3"/>
    <x v="0"/>
  </r>
  <r>
    <x v="7"/>
    <x v="3"/>
    <x v="3"/>
    <x v="2"/>
    <x v="4"/>
    <x v="4"/>
    <x v="1"/>
    <d v="2020-02-20T00:00:00"/>
    <x v="1"/>
    <x v="0"/>
    <x v="0"/>
    <x v="1"/>
  </r>
  <r>
    <x v="3"/>
    <x v="2"/>
    <x v="0"/>
    <x v="2"/>
    <x v="1"/>
    <x v="1"/>
    <x v="2"/>
    <d v="2019-03-25T00:00:00"/>
    <x v="3"/>
    <x v="4"/>
    <x v="4"/>
    <x v="0"/>
  </r>
  <r>
    <x v="2"/>
    <x v="4"/>
    <x v="0"/>
    <x v="2"/>
    <x v="2"/>
    <x v="3"/>
    <x v="1"/>
    <d v="2020-02-20T00:00:00"/>
    <x v="1"/>
    <x v="3"/>
    <x v="3"/>
    <x v="0"/>
  </r>
  <r>
    <x v="9"/>
    <x v="2"/>
    <x v="5"/>
    <x v="0"/>
    <x v="1"/>
    <x v="2"/>
    <x v="1"/>
    <d v="2020-02-20T00:00:00"/>
    <x v="1"/>
    <x v="1"/>
    <x v="1"/>
    <x v="1"/>
  </r>
  <r>
    <x v="7"/>
    <x v="5"/>
    <x v="3"/>
    <x v="2"/>
    <x v="1"/>
    <x v="0"/>
    <x v="0"/>
    <d v="2018-04-05T00:00:00"/>
    <x v="0"/>
    <x v="4"/>
    <x v="4"/>
    <x v="0"/>
  </r>
  <r>
    <x v="5"/>
    <x v="5"/>
    <x v="3"/>
    <x v="0"/>
    <x v="2"/>
    <x v="1"/>
    <x v="1"/>
    <d v="2020-02-20T00:00:00"/>
    <x v="1"/>
    <x v="2"/>
    <x v="2"/>
    <x v="0"/>
  </r>
  <r>
    <x v="5"/>
    <x v="4"/>
    <x v="3"/>
    <x v="2"/>
    <x v="0"/>
    <x v="3"/>
    <x v="2"/>
    <d v="2019-03-25T00:00:00"/>
    <x v="3"/>
    <x v="4"/>
    <x v="4"/>
    <x v="0"/>
  </r>
  <r>
    <x v="8"/>
    <x v="3"/>
    <x v="5"/>
    <x v="0"/>
    <x v="1"/>
    <x v="1"/>
    <x v="0"/>
    <d v="2018-04-05T00:00:00"/>
    <x v="0"/>
    <x v="4"/>
    <x v="4"/>
    <x v="0"/>
  </r>
  <r>
    <x v="2"/>
    <x v="4"/>
    <x v="0"/>
    <x v="0"/>
    <x v="1"/>
    <x v="0"/>
    <x v="0"/>
    <d v="2018-04-05T00:00:00"/>
    <x v="0"/>
    <x v="2"/>
    <x v="2"/>
    <x v="0"/>
  </r>
  <r>
    <x v="6"/>
    <x v="1"/>
    <x v="5"/>
    <x v="1"/>
    <x v="4"/>
    <x v="2"/>
    <x v="1"/>
    <d v="2020-02-20T00:00:00"/>
    <x v="1"/>
    <x v="2"/>
    <x v="2"/>
    <x v="0"/>
  </r>
  <r>
    <x v="2"/>
    <x v="5"/>
    <x v="4"/>
    <x v="2"/>
    <x v="2"/>
    <x v="1"/>
    <x v="2"/>
    <d v="2019-12-01T00:00:00"/>
    <x v="4"/>
    <x v="4"/>
    <x v="4"/>
    <x v="0"/>
  </r>
  <r>
    <x v="9"/>
    <x v="0"/>
    <x v="4"/>
    <x v="2"/>
    <x v="3"/>
    <x v="4"/>
    <x v="2"/>
    <d v="2019-12-01T00:00:00"/>
    <x v="4"/>
    <x v="2"/>
    <x v="2"/>
    <x v="0"/>
  </r>
  <r>
    <x v="3"/>
    <x v="0"/>
    <x v="5"/>
    <x v="0"/>
    <x v="0"/>
    <x v="3"/>
    <x v="0"/>
    <d v="2018-04-05T00:00:00"/>
    <x v="0"/>
    <x v="3"/>
    <x v="3"/>
    <x v="0"/>
  </r>
  <r>
    <x v="5"/>
    <x v="3"/>
    <x v="3"/>
    <x v="0"/>
    <x v="0"/>
    <x v="1"/>
    <x v="1"/>
    <d v="2020-02-20T00:00:00"/>
    <x v="1"/>
    <x v="2"/>
    <x v="2"/>
    <x v="0"/>
  </r>
  <r>
    <x v="3"/>
    <x v="1"/>
    <x v="0"/>
    <x v="0"/>
    <x v="2"/>
    <x v="3"/>
    <x v="2"/>
    <d v="2019-12-01T00:00:00"/>
    <x v="4"/>
    <x v="2"/>
    <x v="2"/>
    <x v="0"/>
  </r>
  <r>
    <x v="3"/>
    <x v="2"/>
    <x v="5"/>
    <x v="1"/>
    <x v="4"/>
    <x v="4"/>
    <x v="1"/>
    <d v="2020-02-20T00:00:00"/>
    <x v="1"/>
    <x v="4"/>
    <x v="4"/>
    <x v="0"/>
  </r>
  <r>
    <x v="3"/>
    <x v="1"/>
    <x v="5"/>
    <x v="1"/>
    <x v="4"/>
    <x v="2"/>
    <x v="1"/>
    <d v="2020-02-20T00:00:00"/>
    <x v="1"/>
    <x v="3"/>
    <x v="3"/>
    <x v="0"/>
  </r>
  <r>
    <x v="5"/>
    <x v="0"/>
    <x v="5"/>
    <x v="0"/>
    <x v="2"/>
    <x v="2"/>
    <x v="0"/>
    <d v="2018-04-05T00:00:00"/>
    <x v="0"/>
    <x v="0"/>
    <x v="0"/>
    <x v="1"/>
  </r>
  <r>
    <x v="4"/>
    <x v="0"/>
    <x v="2"/>
    <x v="2"/>
    <x v="4"/>
    <x v="4"/>
    <x v="0"/>
    <d v="2018-04-05T00:00:00"/>
    <x v="0"/>
    <x v="0"/>
    <x v="0"/>
    <x v="1"/>
  </r>
  <r>
    <x v="1"/>
    <x v="5"/>
    <x v="4"/>
    <x v="2"/>
    <x v="0"/>
    <x v="3"/>
    <x v="1"/>
    <d v="2020-01-15T00:00:00"/>
    <x v="2"/>
    <x v="1"/>
    <x v="1"/>
    <x v="1"/>
  </r>
  <r>
    <x v="9"/>
    <x v="1"/>
    <x v="3"/>
    <x v="1"/>
    <x v="0"/>
    <x v="1"/>
    <x v="2"/>
    <d v="2019-12-01T00:00:00"/>
    <x v="4"/>
    <x v="2"/>
    <x v="2"/>
    <x v="0"/>
  </r>
  <r>
    <x v="4"/>
    <x v="1"/>
    <x v="1"/>
    <x v="1"/>
    <x v="3"/>
    <x v="4"/>
    <x v="2"/>
    <d v="2019-12-01T00:00:00"/>
    <x v="4"/>
    <x v="2"/>
    <x v="2"/>
    <x v="0"/>
  </r>
  <r>
    <x v="9"/>
    <x v="0"/>
    <x v="3"/>
    <x v="0"/>
    <x v="2"/>
    <x v="0"/>
    <x v="2"/>
    <d v="2019-12-01T00:00:00"/>
    <x v="4"/>
    <x v="3"/>
    <x v="3"/>
    <x v="0"/>
  </r>
  <r>
    <x v="7"/>
    <x v="2"/>
    <x v="1"/>
    <x v="2"/>
    <x v="1"/>
    <x v="3"/>
    <x v="2"/>
    <d v="2019-03-25T00:00:00"/>
    <x v="3"/>
    <x v="0"/>
    <x v="0"/>
    <x v="1"/>
  </r>
  <r>
    <x v="2"/>
    <x v="3"/>
    <x v="2"/>
    <x v="0"/>
    <x v="1"/>
    <x v="2"/>
    <x v="1"/>
    <d v="2020-02-20T00:00:00"/>
    <x v="1"/>
    <x v="1"/>
    <x v="1"/>
    <x v="1"/>
  </r>
  <r>
    <x v="2"/>
    <x v="3"/>
    <x v="5"/>
    <x v="1"/>
    <x v="3"/>
    <x v="4"/>
    <x v="0"/>
    <d v="2018-04-05T00:00:00"/>
    <x v="0"/>
    <x v="3"/>
    <x v="3"/>
    <x v="0"/>
  </r>
  <r>
    <x v="0"/>
    <x v="1"/>
    <x v="2"/>
    <x v="2"/>
    <x v="3"/>
    <x v="2"/>
    <x v="2"/>
    <d v="2019-12-01T00:00:00"/>
    <x v="4"/>
    <x v="2"/>
    <x v="2"/>
    <x v="0"/>
  </r>
  <r>
    <x v="2"/>
    <x v="3"/>
    <x v="2"/>
    <x v="2"/>
    <x v="4"/>
    <x v="3"/>
    <x v="1"/>
    <d v="2020-01-15T00:00:00"/>
    <x v="2"/>
    <x v="0"/>
    <x v="0"/>
    <x v="1"/>
  </r>
  <r>
    <x v="5"/>
    <x v="0"/>
    <x v="0"/>
    <x v="1"/>
    <x v="3"/>
    <x v="2"/>
    <x v="2"/>
    <d v="2019-12-01T00:00:00"/>
    <x v="4"/>
    <x v="1"/>
    <x v="1"/>
    <x v="1"/>
  </r>
  <r>
    <x v="6"/>
    <x v="0"/>
    <x v="4"/>
    <x v="0"/>
    <x v="3"/>
    <x v="4"/>
    <x v="1"/>
    <d v="2020-02-20T00:00:00"/>
    <x v="1"/>
    <x v="4"/>
    <x v="4"/>
    <x v="0"/>
  </r>
  <r>
    <x v="8"/>
    <x v="1"/>
    <x v="1"/>
    <x v="0"/>
    <x v="1"/>
    <x v="3"/>
    <x v="1"/>
    <d v="2020-02-20T00:00:00"/>
    <x v="1"/>
    <x v="0"/>
    <x v="0"/>
    <x v="1"/>
  </r>
  <r>
    <x v="0"/>
    <x v="1"/>
    <x v="5"/>
    <x v="2"/>
    <x v="4"/>
    <x v="0"/>
    <x v="0"/>
    <d v="2018-04-05T00:00:00"/>
    <x v="0"/>
    <x v="1"/>
    <x v="1"/>
    <x v="1"/>
  </r>
  <r>
    <x v="8"/>
    <x v="5"/>
    <x v="1"/>
    <x v="1"/>
    <x v="3"/>
    <x v="4"/>
    <x v="2"/>
    <d v="2019-03-25T00:00:00"/>
    <x v="3"/>
    <x v="3"/>
    <x v="3"/>
    <x v="0"/>
  </r>
  <r>
    <x v="9"/>
    <x v="1"/>
    <x v="3"/>
    <x v="2"/>
    <x v="3"/>
    <x v="1"/>
    <x v="0"/>
    <d v="2018-04-05T00:00:00"/>
    <x v="0"/>
    <x v="4"/>
    <x v="4"/>
    <x v="0"/>
  </r>
  <r>
    <x v="8"/>
    <x v="2"/>
    <x v="1"/>
    <x v="1"/>
    <x v="4"/>
    <x v="4"/>
    <x v="2"/>
    <d v="2019-12-01T00:00:00"/>
    <x v="4"/>
    <x v="1"/>
    <x v="1"/>
    <x v="1"/>
  </r>
  <r>
    <x v="8"/>
    <x v="3"/>
    <x v="3"/>
    <x v="0"/>
    <x v="2"/>
    <x v="3"/>
    <x v="1"/>
    <d v="2020-01-15T00:00:00"/>
    <x v="2"/>
    <x v="1"/>
    <x v="1"/>
    <x v="1"/>
  </r>
  <r>
    <x v="0"/>
    <x v="1"/>
    <x v="4"/>
    <x v="1"/>
    <x v="4"/>
    <x v="4"/>
    <x v="0"/>
    <d v="2018-04-05T00:00:00"/>
    <x v="0"/>
    <x v="2"/>
    <x v="2"/>
    <x v="0"/>
  </r>
  <r>
    <x v="7"/>
    <x v="4"/>
    <x v="3"/>
    <x v="0"/>
    <x v="1"/>
    <x v="0"/>
    <x v="2"/>
    <d v="2019-03-25T00:00:00"/>
    <x v="3"/>
    <x v="0"/>
    <x v="0"/>
    <x v="1"/>
  </r>
  <r>
    <x v="3"/>
    <x v="5"/>
    <x v="1"/>
    <x v="1"/>
    <x v="2"/>
    <x v="0"/>
    <x v="0"/>
    <d v="2018-04-05T00:00:00"/>
    <x v="0"/>
    <x v="2"/>
    <x v="2"/>
    <x v="0"/>
  </r>
  <r>
    <x v="2"/>
    <x v="4"/>
    <x v="1"/>
    <x v="2"/>
    <x v="0"/>
    <x v="1"/>
    <x v="1"/>
    <d v="2020-02-20T00:00:00"/>
    <x v="1"/>
    <x v="4"/>
    <x v="4"/>
    <x v="0"/>
  </r>
  <r>
    <x v="2"/>
    <x v="0"/>
    <x v="3"/>
    <x v="0"/>
    <x v="4"/>
    <x v="2"/>
    <x v="2"/>
    <d v="2019-12-01T00:00:00"/>
    <x v="4"/>
    <x v="1"/>
    <x v="1"/>
    <x v="1"/>
  </r>
  <r>
    <x v="5"/>
    <x v="3"/>
    <x v="2"/>
    <x v="2"/>
    <x v="1"/>
    <x v="3"/>
    <x v="2"/>
    <d v="2019-12-01T00:00:00"/>
    <x v="4"/>
    <x v="2"/>
    <x v="2"/>
    <x v="0"/>
  </r>
  <r>
    <x v="0"/>
    <x v="1"/>
    <x v="4"/>
    <x v="2"/>
    <x v="2"/>
    <x v="3"/>
    <x v="2"/>
    <d v="2019-12-01T00:00:00"/>
    <x v="4"/>
    <x v="0"/>
    <x v="0"/>
    <x v="1"/>
  </r>
  <r>
    <x v="5"/>
    <x v="4"/>
    <x v="0"/>
    <x v="0"/>
    <x v="4"/>
    <x v="2"/>
    <x v="2"/>
    <d v="2019-12-01T00:00:00"/>
    <x v="4"/>
    <x v="4"/>
    <x v="4"/>
    <x v="0"/>
  </r>
  <r>
    <x v="6"/>
    <x v="3"/>
    <x v="5"/>
    <x v="0"/>
    <x v="3"/>
    <x v="0"/>
    <x v="2"/>
    <d v="2019-12-01T00:00:00"/>
    <x v="4"/>
    <x v="3"/>
    <x v="3"/>
    <x v="0"/>
  </r>
  <r>
    <x v="6"/>
    <x v="0"/>
    <x v="1"/>
    <x v="2"/>
    <x v="4"/>
    <x v="0"/>
    <x v="2"/>
    <d v="2019-12-01T00:00:00"/>
    <x v="4"/>
    <x v="2"/>
    <x v="2"/>
    <x v="0"/>
  </r>
  <r>
    <x v="5"/>
    <x v="2"/>
    <x v="5"/>
    <x v="2"/>
    <x v="0"/>
    <x v="4"/>
    <x v="1"/>
    <d v="2020-01-15T00:00:00"/>
    <x v="2"/>
    <x v="4"/>
    <x v="4"/>
    <x v="0"/>
  </r>
  <r>
    <x v="0"/>
    <x v="5"/>
    <x v="0"/>
    <x v="2"/>
    <x v="4"/>
    <x v="1"/>
    <x v="2"/>
    <d v="2019-03-25T00:00:00"/>
    <x v="3"/>
    <x v="3"/>
    <x v="3"/>
    <x v="0"/>
  </r>
  <r>
    <x v="5"/>
    <x v="3"/>
    <x v="5"/>
    <x v="2"/>
    <x v="2"/>
    <x v="1"/>
    <x v="2"/>
    <d v="2019-12-01T00:00:00"/>
    <x v="4"/>
    <x v="2"/>
    <x v="2"/>
    <x v="0"/>
  </r>
  <r>
    <x v="2"/>
    <x v="3"/>
    <x v="0"/>
    <x v="0"/>
    <x v="2"/>
    <x v="1"/>
    <x v="2"/>
    <d v="2019-03-25T00:00:00"/>
    <x v="3"/>
    <x v="4"/>
    <x v="4"/>
    <x v="0"/>
  </r>
  <r>
    <x v="4"/>
    <x v="2"/>
    <x v="3"/>
    <x v="0"/>
    <x v="4"/>
    <x v="4"/>
    <x v="2"/>
    <d v="2019-12-01T00:00:00"/>
    <x v="4"/>
    <x v="4"/>
    <x v="4"/>
    <x v="0"/>
  </r>
  <r>
    <x v="1"/>
    <x v="3"/>
    <x v="2"/>
    <x v="2"/>
    <x v="2"/>
    <x v="1"/>
    <x v="0"/>
    <d v="2018-04-05T00:00:00"/>
    <x v="0"/>
    <x v="2"/>
    <x v="2"/>
    <x v="0"/>
  </r>
  <r>
    <x v="8"/>
    <x v="0"/>
    <x v="1"/>
    <x v="1"/>
    <x v="3"/>
    <x v="2"/>
    <x v="2"/>
    <d v="2019-12-01T00:00:00"/>
    <x v="4"/>
    <x v="4"/>
    <x v="4"/>
    <x v="0"/>
  </r>
  <r>
    <x v="1"/>
    <x v="0"/>
    <x v="0"/>
    <x v="1"/>
    <x v="4"/>
    <x v="4"/>
    <x v="1"/>
    <d v="2020-02-20T00:00:00"/>
    <x v="1"/>
    <x v="1"/>
    <x v="1"/>
    <x v="1"/>
  </r>
  <r>
    <x v="0"/>
    <x v="2"/>
    <x v="5"/>
    <x v="0"/>
    <x v="3"/>
    <x v="2"/>
    <x v="1"/>
    <d v="2020-01-15T00:00:00"/>
    <x v="2"/>
    <x v="2"/>
    <x v="2"/>
    <x v="0"/>
  </r>
  <r>
    <x v="1"/>
    <x v="5"/>
    <x v="1"/>
    <x v="2"/>
    <x v="3"/>
    <x v="4"/>
    <x v="0"/>
    <d v="2018-04-05T00:00:00"/>
    <x v="0"/>
    <x v="4"/>
    <x v="4"/>
    <x v="0"/>
  </r>
  <r>
    <x v="6"/>
    <x v="1"/>
    <x v="2"/>
    <x v="2"/>
    <x v="1"/>
    <x v="1"/>
    <x v="0"/>
    <d v="2018-04-05T00:00:00"/>
    <x v="0"/>
    <x v="3"/>
    <x v="3"/>
    <x v="0"/>
  </r>
  <r>
    <x v="9"/>
    <x v="4"/>
    <x v="3"/>
    <x v="0"/>
    <x v="4"/>
    <x v="2"/>
    <x v="1"/>
    <d v="2020-02-20T00:00:00"/>
    <x v="1"/>
    <x v="3"/>
    <x v="3"/>
    <x v="0"/>
  </r>
  <r>
    <x v="8"/>
    <x v="1"/>
    <x v="1"/>
    <x v="1"/>
    <x v="2"/>
    <x v="2"/>
    <x v="2"/>
    <d v="2019-12-01T00:00:00"/>
    <x v="4"/>
    <x v="1"/>
    <x v="1"/>
    <x v="1"/>
  </r>
  <r>
    <x v="3"/>
    <x v="3"/>
    <x v="0"/>
    <x v="1"/>
    <x v="3"/>
    <x v="2"/>
    <x v="1"/>
    <d v="2020-01-15T00:00:00"/>
    <x v="2"/>
    <x v="2"/>
    <x v="2"/>
    <x v="0"/>
  </r>
  <r>
    <x v="0"/>
    <x v="4"/>
    <x v="2"/>
    <x v="1"/>
    <x v="1"/>
    <x v="4"/>
    <x v="0"/>
    <d v="2018-04-05T00:00:00"/>
    <x v="0"/>
    <x v="4"/>
    <x v="4"/>
    <x v="0"/>
  </r>
  <r>
    <x v="8"/>
    <x v="2"/>
    <x v="5"/>
    <x v="0"/>
    <x v="4"/>
    <x v="3"/>
    <x v="1"/>
    <d v="2020-01-15T00:00:00"/>
    <x v="2"/>
    <x v="4"/>
    <x v="4"/>
    <x v="0"/>
  </r>
  <r>
    <x v="1"/>
    <x v="2"/>
    <x v="2"/>
    <x v="1"/>
    <x v="4"/>
    <x v="1"/>
    <x v="0"/>
    <d v="2018-04-05T00:00:00"/>
    <x v="0"/>
    <x v="3"/>
    <x v="3"/>
    <x v="0"/>
  </r>
  <r>
    <x v="6"/>
    <x v="5"/>
    <x v="2"/>
    <x v="0"/>
    <x v="0"/>
    <x v="2"/>
    <x v="2"/>
    <d v="2019-12-01T00:00:00"/>
    <x v="4"/>
    <x v="1"/>
    <x v="1"/>
    <x v="1"/>
  </r>
  <r>
    <x v="7"/>
    <x v="4"/>
    <x v="4"/>
    <x v="0"/>
    <x v="0"/>
    <x v="3"/>
    <x v="0"/>
    <d v="2018-04-05T00:00:00"/>
    <x v="0"/>
    <x v="3"/>
    <x v="3"/>
    <x v="0"/>
  </r>
  <r>
    <x v="4"/>
    <x v="0"/>
    <x v="2"/>
    <x v="2"/>
    <x v="3"/>
    <x v="1"/>
    <x v="0"/>
    <d v="2018-04-05T00:00:00"/>
    <x v="0"/>
    <x v="3"/>
    <x v="3"/>
    <x v="0"/>
  </r>
  <r>
    <x v="3"/>
    <x v="4"/>
    <x v="2"/>
    <x v="1"/>
    <x v="0"/>
    <x v="1"/>
    <x v="2"/>
    <d v="2019-03-25T00:00:00"/>
    <x v="3"/>
    <x v="1"/>
    <x v="1"/>
    <x v="1"/>
  </r>
  <r>
    <x v="4"/>
    <x v="3"/>
    <x v="1"/>
    <x v="0"/>
    <x v="3"/>
    <x v="2"/>
    <x v="2"/>
    <d v="2019-12-01T00:00:00"/>
    <x v="4"/>
    <x v="2"/>
    <x v="2"/>
    <x v="0"/>
  </r>
  <r>
    <x v="8"/>
    <x v="0"/>
    <x v="5"/>
    <x v="1"/>
    <x v="2"/>
    <x v="2"/>
    <x v="1"/>
    <d v="2020-02-20T00:00:00"/>
    <x v="1"/>
    <x v="4"/>
    <x v="4"/>
    <x v="0"/>
  </r>
  <r>
    <x v="6"/>
    <x v="2"/>
    <x v="1"/>
    <x v="1"/>
    <x v="3"/>
    <x v="4"/>
    <x v="1"/>
    <d v="2020-02-20T00:00:00"/>
    <x v="1"/>
    <x v="2"/>
    <x v="2"/>
    <x v="0"/>
  </r>
  <r>
    <x v="6"/>
    <x v="4"/>
    <x v="1"/>
    <x v="2"/>
    <x v="0"/>
    <x v="3"/>
    <x v="2"/>
    <d v="2019-12-01T00:00:00"/>
    <x v="4"/>
    <x v="0"/>
    <x v="0"/>
    <x v="1"/>
  </r>
  <r>
    <x v="1"/>
    <x v="1"/>
    <x v="0"/>
    <x v="1"/>
    <x v="2"/>
    <x v="3"/>
    <x v="1"/>
    <d v="2020-02-20T00:00:00"/>
    <x v="1"/>
    <x v="0"/>
    <x v="0"/>
    <x v="1"/>
  </r>
  <r>
    <x v="2"/>
    <x v="5"/>
    <x v="1"/>
    <x v="2"/>
    <x v="0"/>
    <x v="2"/>
    <x v="2"/>
    <d v="2019-12-01T00:00:00"/>
    <x v="4"/>
    <x v="0"/>
    <x v="0"/>
    <x v="1"/>
  </r>
  <r>
    <x v="1"/>
    <x v="1"/>
    <x v="4"/>
    <x v="0"/>
    <x v="3"/>
    <x v="1"/>
    <x v="1"/>
    <d v="2020-02-20T00:00:00"/>
    <x v="1"/>
    <x v="1"/>
    <x v="1"/>
    <x v="1"/>
  </r>
  <r>
    <x v="2"/>
    <x v="5"/>
    <x v="4"/>
    <x v="1"/>
    <x v="1"/>
    <x v="2"/>
    <x v="2"/>
    <d v="2019-03-25T00:00:00"/>
    <x v="3"/>
    <x v="3"/>
    <x v="3"/>
    <x v="0"/>
  </r>
  <r>
    <x v="2"/>
    <x v="3"/>
    <x v="0"/>
    <x v="0"/>
    <x v="4"/>
    <x v="1"/>
    <x v="1"/>
    <d v="2020-02-20T00:00:00"/>
    <x v="1"/>
    <x v="2"/>
    <x v="2"/>
    <x v="0"/>
  </r>
  <r>
    <x v="3"/>
    <x v="1"/>
    <x v="3"/>
    <x v="1"/>
    <x v="0"/>
    <x v="1"/>
    <x v="0"/>
    <d v="2018-04-05T00:00:00"/>
    <x v="0"/>
    <x v="4"/>
    <x v="4"/>
    <x v="0"/>
  </r>
  <r>
    <x v="1"/>
    <x v="4"/>
    <x v="5"/>
    <x v="0"/>
    <x v="3"/>
    <x v="2"/>
    <x v="2"/>
    <d v="2019-12-01T00:00:00"/>
    <x v="4"/>
    <x v="0"/>
    <x v="0"/>
    <x v="1"/>
  </r>
  <r>
    <x v="7"/>
    <x v="4"/>
    <x v="5"/>
    <x v="1"/>
    <x v="2"/>
    <x v="0"/>
    <x v="1"/>
    <d v="2020-01-15T00:00:00"/>
    <x v="2"/>
    <x v="2"/>
    <x v="2"/>
    <x v="0"/>
  </r>
  <r>
    <x v="5"/>
    <x v="1"/>
    <x v="1"/>
    <x v="1"/>
    <x v="0"/>
    <x v="3"/>
    <x v="1"/>
    <d v="2020-01-15T00:00:00"/>
    <x v="2"/>
    <x v="0"/>
    <x v="0"/>
    <x v="1"/>
  </r>
  <r>
    <x v="5"/>
    <x v="4"/>
    <x v="1"/>
    <x v="1"/>
    <x v="0"/>
    <x v="1"/>
    <x v="2"/>
    <d v="2019-12-01T00:00:00"/>
    <x v="4"/>
    <x v="0"/>
    <x v="0"/>
    <x v="1"/>
  </r>
  <r>
    <x v="1"/>
    <x v="3"/>
    <x v="3"/>
    <x v="1"/>
    <x v="4"/>
    <x v="1"/>
    <x v="2"/>
    <d v="2019-03-25T00:00:00"/>
    <x v="3"/>
    <x v="4"/>
    <x v="4"/>
    <x v="0"/>
  </r>
  <r>
    <x v="1"/>
    <x v="0"/>
    <x v="1"/>
    <x v="1"/>
    <x v="3"/>
    <x v="0"/>
    <x v="1"/>
    <d v="2020-02-20T00:00:00"/>
    <x v="1"/>
    <x v="1"/>
    <x v="1"/>
    <x v="1"/>
  </r>
  <r>
    <x v="4"/>
    <x v="3"/>
    <x v="5"/>
    <x v="1"/>
    <x v="1"/>
    <x v="4"/>
    <x v="2"/>
    <d v="2019-03-25T00:00:00"/>
    <x v="3"/>
    <x v="3"/>
    <x v="3"/>
    <x v="0"/>
  </r>
  <r>
    <x v="3"/>
    <x v="5"/>
    <x v="2"/>
    <x v="1"/>
    <x v="2"/>
    <x v="0"/>
    <x v="1"/>
    <d v="2020-01-15T00:00:00"/>
    <x v="2"/>
    <x v="1"/>
    <x v="1"/>
    <x v="1"/>
  </r>
  <r>
    <x v="1"/>
    <x v="3"/>
    <x v="4"/>
    <x v="1"/>
    <x v="3"/>
    <x v="0"/>
    <x v="2"/>
    <d v="2019-12-01T00:00:00"/>
    <x v="4"/>
    <x v="2"/>
    <x v="2"/>
    <x v="0"/>
  </r>
  <r>
    <x v="4"/>
    <x v="5"/>
    <x v="2"/>
    <x v="1"/>
    <x v="2"/>
    <x v="1"/>
    <x v="2"/>
    <d v="2019-12-01T00:00:00"/>
    <x v="4"/>
    <x v="1"/>
    <x v="1"/>
    <x v="1"/>
  </r>
  <r>
    <x v="2"/>
    <x v="4"/>
    <x v="2"/>
    <x v="0"/>
    <x v="0"/>
    <x v="3"/>
    <x v="2"/>
    <d v="2019-03-25T00:00:00"/>
    <x v="3"/>
    <x v="2"/>
    <x v="2"/>
    <x v="0"/>
  </r>
  <r>
    <x v="6"/>
    <x v="0"/>
    <x v="5"/>
    <x v="2"/>
    <x v="4"/>
    <x v="0"/>
    <x v="2"/>
    <d v="2019-03-25T00:00:00"/>
    <x v="3"/>
    <x v="2"/>
    <x v="2"/>
    <x v="0"/>
  </r>
  <r>
    <x v="6"/>
    <x v="4"/>
    <x v="2"/>
    <x v="1"/>
    <x v="4"/>
    <x v="4"/>
    <x v="1"/>
    <d v="2020-02-20T00:00:00"/>
    <x v="1"/>
    <x v="3"/>
    <x v="3"/>
    <x v="0"/>
  </r>
  <r>
    <x v="2"/>
    <x v="2"/>
    <x v="3"/>
    <x v="2"/>
    <x v="1"/>
    <x v="2"/>
    <x v="0"/>
    <d v="2018-04-05T00:00:00"/>
    <x v="0"/>
    <x v="4"/>
    <x v="4"/>
    <x v="0"/>
  </r>
  <r>
    <x v="0"/>
    <x v="4"/>
    <x v="0"/>
    <x v="1"/>
    <x v="4"/>
    <x v="0"/>
    <x v="0"/>
    <d v="2018-04-05T00:00:00"/>
    <x v="0"/>
    <x v="3"/>
    <x v="3"/>
    <x v="0"/>
  </r>
  <r>
    <x v="4"/>
    <x v="5"/>
    <x v="1"/>
    <x v="1"/>
    <x v="0"/>
    <x v="0"/>
    <x v="1"/>
    <d v="2020-02-20T00:00:00"/>
    <x v="1"/>
    <x v="1"/>
    <x v="1"/>
    <x v="1"/>
  </r>
  <r>
    <x v="4"/>
    <x v="4"/>
    <x v="0"/>
    <x v="0"/>
    <x v="1"/>
    <x v="4"/>
    <x v="0"/>
    <d v="2018-04-05T00:00:00"/>
    <x v="0"/>
    <x v="2"/>
    <x v="2"/>
    <x v="0"/>
  </r>
  <r>
    <x v="2"/>
    <x v="4"/>
    <x v="4"/>
    <x v="0"/>
    <x v="3"/>
    <x v="3"/>
    <x v="1"/>
    <d v="2020-01-15T00:00:00"/>
    <x v="2"/>
    <x v="0"/>
    <x v="0"/>
    <x v="1"/>
  </r>
  <r>
    <x v="7"/>
    <x v="0"/>
    <x v="1"/>
    <x v="2"/>
    <x v="4"/>
    <x v="0"/>
    <x v="0"/>
    <d v="2018-04-05T00:00:00"/>
    <x v="0"/>
    <x v="0"/>
    <x v="0"/>
    <x v="1"/>
  </r>
  <r>
    <x v="9"/>
    <x v="4"/>
    <x v="2"/>
    <x v="0"/>
    <x v="1"/>
    <x v="0"/>
    <x v="1"/>
    <d v="2020-02-20T00:00:00"/>
    <x v="1"/>
    <x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6"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53:H59" firstHeaderRow="1" firstDataRow="1" firstDataCol="1"/>
  <pivotFields count="12">
    <pivotField dataField="1" showAll="0">
      <items count="11">
        <item x="8"/>
        <item x="7"/>
        <item x="5"/>
        <item x="1"/>
        <item x="3"/>
        <item x="6"/>
        <item x="0"/>
        <item x="2"/>
        <item x="9"/>
        <item x="4"/>
        <item t="default"/>
      </items>
    </pivotField>
    <pivotField showAll="0"/>
    <pivotField showAll="0">
      <items count="7">
        <item x="0"/>
        <item x="5"/>
        <item x="2"/>
        <item x="1"/>
        <item x="4"/>
        <item x="3"/>
        <item t="default"/>
      </items>
    </pivotField>
    <pivotField showAll="0"/>
    <pivotField showAll="0">
      <items count="6">
        <item x="1"/>
        <item x="0"/>
        <item x="3"/>
        <item x="4"/>
        <item x="2"/>
        <item t="default"/>
      </items>
    </pivotField>
    <pivotField showAll="0">
      <items count="6">
        <item x="4"/>
        <item x="3"/>
        <item x="2"/>
        <item x="1"/>
        <item x="0"/>
        <item t="default"/>
      </items>
    </pivotField>
    <pivotField showAll="0"/>
    <pivotField numFmtId="14" showAll="0"/>
    <pivotField showAll="0"/>
    <pivotField axis="axisRow" showAll="0">
      <items count="6">
        <item x="3"/>
        <item x="4"/>
        <item x="2"/>
        <item x="0"/>
        <item x="1"/>
        <item t="default"/>
      </items>
    </pivotField>
    <pivotField showAll="0">
      <items count="6">
        <item x="1"/>
        <item x="0"/>
        <item x="2"/>
        <item x="4"/>
        <item x="3"/>
        <item t="default"/>
      </items>
    </pivotField>
    <pivotField showAll="0" defaultSubtotal="0">
      <items count="2">
        <item x="0"/>
        <item x="1"/>
      </items>
    </pivotField>
  </pivotFields>
  <rowFields count="1">
    <field x="9"/>
  </rowFields>
  <rowItems count="6">
    <i>
      <x/>
    </i>
    <i>
      <x v="1"/>
    </i>
    <i>
      <x v="2"/>
    </i>
    <i>
      <x v="3"/>
    </i>
    <i>
      <x v="4"/>
    </i>
    <i t="grand">
      <x/>
    </i>
  </rowItems>
  <colItems count="1">
    <i/>
  </colItems>
  <dataFields count="1">
    <dataField name="Count of Name" fld="0" subtotal="count" baseField="0" baseItem="0"/>
  </dataFields>
  <chartFormats count="2">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2">
    <pivotField dataField="1" showAll="0"/>
    <pivotField dataField="1" showAll="0"/>
    <pivotField dataField="1" showAll="0"/>
    <pivotField showAll="0"/>
    <pivotField showAll="0"/>
    <pivotField showAll="0"/>
    <pivotField showAll="0"/>
    <pivotField numFmtId="14" showAll="0"/>
    <pivotField showAll="0"/>
    <pivotField showAll="0"/>
    <pivotField dataField="1" showAll="0"/>
    <pivotField showAll="0" defaultSubtotal="0"/>
  </pivotFields>
  <rowItems count="1">
    <i/>
  </rowItems>
  <colFields count="1">
    <field x="-2"/>
  </colFields>
  <colItems count="4">
    <i>
      <x/>
    </i>
    <i i="1">
      <x v="1"/>
    </i>
    <i i="2">
      <x v="2"/>
    </i>
    <i i="3">
      <x v="3"/>
    </i>
  </colItems>
  <dataFields count="4">
    <dataField name="Average of Age" fld="1" subtotal="average" baseField="0" baseItem="1"/>
    <dataField name="Count of Name" fld="0" subtotal="count" baseField="0" baseItem="0"/>
    <dataField name="Average of Salary" fld="2" subtotal="average" baseField="0" baseItem="1"/>
    <dataField name="Average of Performance  _Score_Range" fld="1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24:I30" firstHeaderRow="1" firstDataRow="1" firstDataCol="1"/>
  <pivotFields count="12">
    <pivotField showAll="0"/>
    <pivotField showAll="0"/>
    <pivotField dataField="1" showAll="0">
      <items count="7">
        <item x="0"/>
        <item x="5"/>
        <item x="2"/>
        <item x="1"/>
        <item x="4"/>
        <item x="3"/>
        <item t="default"/>
      </items>
    </pivotField>
    <pivotField showAll="0"/>
    <pivotField axis="axisRow" showAll="0">
      <items count="6">
        <item x="1"/>
        <item x="0"/>
        <item x="3"/>
        <item x="4"/>
        <item x="2"/>
        <item t="default"/>
      </items>
    </pivotField>
    <pivotField showAll="0"/>
    <pivotField showAll="0"/>
    <pivotField numFmtId="14" showAll="0"/>
    <pivotField showAll="0"/>
    <pivotField showAll="0"/>
    <pivotField showAll="0"/>
    <pivotField showAll="0" defaultSubtotal="0"/>
  </pivotFields>
  <rowFields count="1">
    <field x="4"/>
  </rowFields>
  <rowItems count="6">
    <i>
      <x/>
    </i>
    <i>
      <x v="1"/>
    </i>
    <i>
      <x v="2"/>
    </i>
    <i>
      <x v="3"/>
    </i>
    <i>
      <x v="4"/>
    </i>
    <i t="grand">
      <x/>
    </i>
  </rowItems>
  <colItems count="1">
    <i/>
  </colItems>
  <dataFields count="1">
    <dataField name="Average of Salary" fld="2" subtotal="average" baseField="4" baseItem="1"/>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5:A42" firstHeaderRow="1" firstDataRow="1" firstDataCol="1"/>
  <pivotFields count="12">
    <pivotField showAll="0"/>
    <pivotField axis="axisRow" showAll="0">
      <items count="7">
        <item x="0"/>
        <item x="4"/>
        <item x="2"/>
        <item x="3"/>
        <item x="5"/>
        <item x="1"/>
        <item t="default"/>
      </items>
    </pivotField>
    <pivotField showAll="0"/>
    <pivotField showAll="0"/>
    <pivotField showAll="0"/>
    <pivotField showAll="0"/>
    <pivotField showAll="0">
      <items count="4">
        <item x="0"/>
        <item x="2"/>
        <item x="1"/>
        <item t="default"/>
      </items>
    </pivotField>
    <pivotField numFmtId="14" showAll="0"/>
    <pivotField showAll="0"/>
    <pivotField showAll="0"/>
    <pivotField showAll="0"/>
    <pivotField showAll="0" defaultSubtotal="0"/>
  </pivotFields>
  <rowFields count="1">
    <field x="1"/>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8:G24" firstHeaderRow="1" firstDataRow="1" firstDataCol="1"/>
  <pivotFields count="12">
    <pivotField showAll="0"/>
    <pivotField showAll="0"/>
    <pivotField showAll="0"/>
    <pivotField showAll="0"/>
    <pivotField showAll="0"/>
    <pivotField showAll="0"/>
    <pivotField showAll="0"/>
    <pivotField numFmtId="14" showAll="0"/>
    <pivotField showAll="0"/>
    <pivotField axis="axisRow" showAll="0">
      <items count="6">
        <item x="3"/>
        <item x="4"/>
        <item x="2"/>
        <item x="0"/>
        <item x="1"/>
        <item t="default"/>
      </items>
    </pivotField>
    <pivotField showAll="0"/>
    <pivotField showAll="0" defaultSubtotal="0"/>
  </pivotFields>
  <rowFields count="1">
    <field x="9"/>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9:B33" firstHeaderRow="1" firstDataRow="1" firstDataCol="1"/>
  <pivotFields count="12">
    <pivotField dataField="1" showAll="0"/>
    <pivotField showAll="0"/>
    <pivotField showAll="0"/>
    <pivotField axis="axisRow" showAll="0">
      <items count="4">
        <item x="1"/>
        <item x="0"/>
        <item x="2"/>
        <item t="default"/>
      </items>
    </pivotField>
    <pivotField showAll="0"/>
    <pivotField showAll="0"/>
    <pivotField showAll="0"/>
    <pivotField numFmtId="14" showAll="0"/>
    <pivotField showAll="0"/>
    <pivotField showAll="0"/>
    <pivotField showAll="0"/>
    <pivotField showAll="0" defaultSubtotal="0"/>
  </pivotFields>
  <rowFields count="1">
    <field x="3"/>
  </rowFields>
  <rowItems count="4">
    <i>
      <x/>
    </i>
    <i>
      <x v="1"/>
    </i>
    <i>
      <x v="2"/>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33:J39" firstHeaderRow="1" firstDataRow="1" firstDataCol="1"/>
  <pivotFields count="12">
    <pivotField showAll="0"/>
    <pivotField showAll="0"/>
    <pivotField dataField="1" showAll="0"/>
    <pivotField showAll="0"/>
    <pivotField showAll="0"/>
    <pivotField showAll="0"/>
    <pivotField showAll="0"/>
    <pivotField numFmtId="14" showAll="0"/>
    <pivotField showAll="0"/>
    <pivotField axis="axisRow" showAll="0">
      <items count="6">
        <item x="3"/>
        <item x="4"/>
        <item x="2"/>
        <item x="0"/>
        <item x="1"/>
        <item t="default"/>
      </items>
    </pivotField>
    <pivotField showAll="0">
      <items count="6">
        <item x="1"/>
        <item x="0"/>
        <item x="2"/>
        <item x="4"/>
        <item x="3"/>
        <item t="default"/>
      </items>
    </pivotField>
    <pivotField showAll="0" defaultSubtotal="0"/>
  </pivotFields>
  <rowFields count="1">
    <field x="9"/>
  </rowFields>
  <rowItems count="6">
    <i>
      <x/>
    </i>
    <i>
      <x v="1"/>
    </i>
    <i>
      <x v="2"/>
    </i>
    <i>
      <x v="3"/>
    </i>
    <i>
      <x v="4"/>
    </i>
    <i t="grand">
      <x/>
    </i>
  </rowItems>
  <colItems count="1">
    <i/>
  </colItems>
  <dataFields count="1">
    <dataField name="Average of Salary" fld="2" subtotal="average" baseField="10" baseItem="0"/>
  </dataFields>
  <formats count="5">
    <format dxfId="4">
      <pivotArea collapsedLevelsAreSubtotals="1" fieldPosition="0">
        <references count="1">
          <reference field="9" count="1">
            <x v="0"/>
          </reference>
        </references>
      </pivotArea>
    </format>
    <format dxfId="3">
      <pivotArea collapsedLevelsAreSubtotals="1" fieldPosition="0">
        <references count="1">
          <reference field="9" count="4">
            <x v="1"/>
            <x v="2"/>
            <x v="3"/>
            <x v="4"/>
          </reference>
        </references>
      </pivotArea>
    </format>
    <format dxfId="2">
      <pivotArea collapsedLevelsAreSubtotals="1" fieldPosition="0">
        <references count="1">
          <reference field="9" count="4">
            <x v="1"/>
            <x v="2"/>
            <x v="3"/>
            <x v="4"/>
          </reference>
        </references>
      </pivotArea>
    </format>
    <format dxfId="1">
      <pivotArea collapsedLevelsAreSubtotals="1" fieldPosition="0">
        <references count="1">
          <reference field="9" count="4">
            <x v="1"/>
            <x v="2"/>
            <x v="3"/>
            <x v="4"/>
          </reference>
        </references>
      </pivotArea>
    </format>
    <format dxfId="0">
      <pivotArea collapsedLevelsAreSubtotals="1" fieldPosition="0">
        <references count="1">
          <reference field="9" count="4">
            <x v="1"/>
            <x v="2"/>
            <x v="3"/>
            <x v="4"/>
          </reference>
        </references>
      </pivotArea>
    </format>
  </formats>
  <chartFormats count="1">
    <chartFormat chart="3"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3:G39" firstHeaderRow="1" firstDataRow="1" firstDataCol="1"/>
  <pivotFields count="12">
    <pivotField showAll="0"/>
    <pivotField showAll="0"/>
    <pivotField dataField="1" showAll="0"/>
    <pivotField showAll="0"/>
    <pivotField showAll="0"/>
    <pivotField showAll="0"/>
    <pivotField showAll="0"/>
    <pivotField numFmtId="14" showAll="0"/>
    <pivotField showAll="0"/>
    <pivotField showAll="0"/>
    <pivotField axis="axisRow" showAll="0">
      <items count="6">
        <item x="1"/>
        <item x="0"/>
        <item x="2"/>
        <item x="4"/>
        <item x="3"/>
        <item t="default"/>
      </items>
    </pivotField>
    <pivotField showAll="0" defaultSubtotal="0"/>
  </pivotFields>
  <rowFields count="1">
    <field x="10"/>
  </rowFields>
  <rowItems count="6">
    <i>
      <x/>
    </i>
    <i>
      <x v="1"/>
    </i>
    <i>
      <x v="2"/>
    </i>
    <i>
      <x v="3"/>
    </i>
    <i>
      <x v="4"/>
    </i>
    <i t="grand">
      <x/>
    </i>
  </rowItems>
  <colItems count="1">
    <i/>
  </colItems>
  <dataFields count="1">
    <dataField name="Average of Salary" fld="2"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55"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location ref="G9:H15" firstHeaderRow="1" firstDataRow="1" firstDataCol="1"/>
  <pivotFields count="12">
    <pivotField showAll="0"/>
    <pivotField showAll="0"/>
    <pivotField showAll="0"/>
    <pivotField showAll="0"/>
    <pivotField axis="axisRow" showAll="0">
      <items count="6">
        <item x="1"/>
        <item x="0"/>
        <item x="3"/>
        <item x="4"/>
        <item x="2"/>
        <item t="default"/>
      </items>
    </pivotField>
    <pivotField showAll="0"/>
    <pivotField showAll="0"/>
    <pivotField numFmtId="14" showAll="0"/>
    <pivotField showAll="0"/>
    <pivotField showAll="0"/>
    <pivotField dataField="1" showAll="0"/>
    <pivotField showAll="0" defaultSubtotal="0"/>
  </pivotFields>
  <rowFields count="1">
    <field x="4"/>
  </rowFields>
  <rowItems count="6">
    <i>
      <x/>
    </i>
    <i>
      <x v="1"/>
    </i>
    <i>
      <x v="2"/>
    </i>
    <i>
      <x v="3"/>
    </i>
    <i>
      <x v="4"/>
    </i>
    <i t="grand">
      <x/>
    </i>
  </rowItems>
  <colItems count="1">
    <i/>
  </colItems>
  <dataFields count="1">
    <dataField name="Average of Performance  _Score_Range" fld="10"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53:E57" firstHeaderRow="1" firstDataRow="1" firstDataCol="1"/>
  <pivotFields count="12">
    <pivotField dataField="1" showAll="0">
      <items count="11">
        <item x="8"/>
        <item x="7"/>
        <item x="5"/>
        <item x="1"/>
        <item x="3"/>
        <item x="6"/>
        <item x="0"/>
        <item x="2"/>
        <item x="9"/>
        <item x="4"/>
        <item t="default"/>
      </items>
    </pivotField>
    <pivotField showAll="0">
      <items count="7">
        <item x="0"/>
        <item x="4"/>
        <item x="2"/>
        <item x="3"/>
        <item x="5"/>
        <item x="1"/>
        <item t="default"/>
      </items>
    </pivotField>
    <pivotField showAll="0"/>
    <pivotField showAll="0"/>
    <pivotField showAll="0"/>
    <pivotField showAll="0"/>
    <pivotField axis="axisRow" showAll="0">
      <items count="4">
        <item x="0"/>
        <item x="2"/>
        <item x="1"/>
        <item t="default"/>
      </items>
    </pivotField>
    <pivotField numFmtId="14" showAll="0"/>
    <pivotField showAll="0"/>
    <pivotField showAll="0"/>
    <pivotField showAll="0"/>
    <pivotField showAll="0" defaultSubtotal="0"/>
  </pivotFields>
  <rowFields count="1">
    <field x="6"/>
  </rowFields>
  <rowItems count="4">
    <i>
      <x/>
    </i>
    <i>
      <x v="1"/>
    </i>
    <i>
      <x v="2"/>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8"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6:E32" firstHeaderRow="1" firstDataRow="1" firstDataCol="1"/>
  <pivotFields count="12">
    <pivotField dataField="1" showAll="0"/>
    <pivotField showAll="0"/>
    <pivotField showAll="0"/>
    <pivotField showAll="0"/>
    <pivotField showAll="0"/>
    <pivotField showAll="0"/>
    <pivotField showAll="0"/>
    <pivotField numFmtId="14" showAll="0"/>
    <pivotField showAll="0"/>
    <pivotField axis="axisRow" showAll="0">
      <items count="6">
        <item x="3"/>
        <item x="4"/>
        <item x="2"/>
        <item x="0"/>
        <item x="1"/>
        <item t="default"/>
      </items>
    </pivotField>
    <pivotField showAll="0"/>
    <pivotField showAll="0" defaultSubtotal="0"/>
  </pivotFields>
  <rowFields count="1">
    <field x="9"/>
  </rowFields>
  <rowItems count="6">
    <i>
      <x/>
    </i>
    <i>
      <x v="1"/>
    </i>
    <i>
      <x v="2"/>
    </i>
    <i>
      <x v="3"/>
    </i>
    <i>
      <x v="4"/>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3"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F43:G47" firstHeaderRow="1" firstDataRow="1" firstDataCol="1"/>
  <pivotFields count="12">
    <pivotField showAll="0"/>
    <pivotField showAll="0"/>
    <pivotField dataField="1" showAll="0">
      <items count="7">
        <item x="0"/>
        <item x="5"/>
        <item x="2"/>
        <item x="1"/>
        <item x="4"/>
        <item x="3"/>
        <item t="default"/>
      </items>
    </pivotField>
    <pivotField showAll="0"/>
    <pivotField showAll="0"/>
    <pivotField showAll="0"/>
    <pivotField axis="axisRow" showAll="0">
      <items count="4">
        <item x="0"/>
        <item x="2"/>
        <item x="1"/>
        <item t="default"/>
      </items>
    </pivotField>
    <pivotField numFmtId="14" showAll="0"/>
    <pivotField showAll="0"/>
    <pivotField showAll="0"/>
    <pivotField showAll="0"/>
    <pivotField showAll="0" defaultSubtotal="0"/>
  </pivotFields>
  <rowFields count="1">
    <field x="6"/>
  </rowFields>
  <rowItems count="4">
    <i>
      <x/>
    </i>
    <i>
      <x v="1"/>
    </i>
    <i>
      <x v="2"/>
    </i>
    <i t="grand">
      <x/>
    </i>
  </rowItems>
  <colItems count="1">
    <i/>
  </colItems>
  <dataFields count="1">
    <dataField name="Average of Salary" fld="2" subtotal="average" baseField="6" baseItem="0"/>
  </dataFields>
  <chartFormats count="2">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4"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C75:D79" firstHeaderRow="1" firstDataRow="1" firstDataCol="1"/>
  <pivotFields count="12">
    <pivotField showAll="0">
      <items count="11">
        <item x="8"/>
        <item x="7"/>
        <item x="5"/>
        <item x="1"/>
        <item x="3"/>
        <item x="6"/>
        <item x="0"/>
        <item x="2"/>
        <item x="9"/>
        <item x="4"/>
        <item t="default"/>
      </items>
    </pivotField>
    <pivotField showAll="0">
      <items count="7">
        <item x="0"/>
        <item x="4"/>
        <item x="2"/>
        <item x="3"/>
        <item x="5"/>
        <item x="1"/>
        <item t="default"/>
      </items>
    </pivotField>
    <pivotField dataField="1" showAll="0">
      <items count="7">
        <item x="0"/>
        <item x="5"/>
        <item x="2"/>
        <item x="1"/>
        <item x="4"/>
        <item x="3"/>
        <item t="default"/>
      </items>
    </pivotField>
    <pivotField showAll="0"/>
    <pivotField showAll="0">
      <items count="6">
        <item x="1"/>
        <item x="0"/>
        <item x="3"/>
        <item x="4"/>
        <item x="2"/>
        <item t="default"/>
      </items>
    </pivotField>
    <pivotField showAll="0">
      <items count="6">
        <item x="4"/>
        <item x="3"/>
        <item x="2"/>
        <item x="1"/>
        <item x="0"/>
        <item t="default"/>
      </items>
    </pivotField>
    <pivotField axis="axisRow" showAll="0">
      <items count="4">
        <item x="0"/>
        <item x="2"/>
        <item x="1"/>
        <item t="default"/>
      </items>
    </pivotField>
    <pivotField numFmtId="14" showAll="0"/>
    <pivotField showAll="0">
      <items count="6">
        <item x="2"/>
        <item x="1"/>
        <item x="3"/>
        <item x="0"/>
        <item x="4"/>
        <item t="default"/>
      </items>
    </pivotField>
    <pivotField showAll="0">
      <items count="6">
        <item x="3"/>
        <item x="4"/>
        <item x="2"/>
        <item x="0"/>
        <item x="1"/>
        <item t="default"/>
      </items>
    </pivotField>
    <pivotField showAll="0"/>
    <pivotField showAll="0" defaultSubtotal="0"/>
  </pivotFields>
  <rowFields count="1">
    <field x="6"/>
  </rowFields>
  <rowItems count="4">
    <i>
      <x/>
    </i>
    <i>
      <x v="1"/>
    </i>
    <i>
      <x v="2"/>
    </i>
    <i t="grand">
      <x/>
    </i>
  </rowItems>
  <colItems count="1">
    <i/>
  </colItems>
  <dataFields count="1">
    <dataField name="Average of Salary" fld="2" subtotal="average" baseField="8" baseItem="0"/>
  </dataFields>
  <chartFormats count="5">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8:E24" firstHeaderRow="1" firstDataRow="1" firstDataCol="1"/>
  <pivotFields count="12">
    <pivotField showAll="0"/>
    <pivotField showAll="0"/>
    <pivotField dataField="1" showAll="0"/>
    <pivotField showAll="0"/>
    <pivotField showAll="0"/>
    <pivotField axis="axisRow" showAll="0">
      <items count="6">
        <item x="4"/>
        <item x="3"/>
        <item x="2"/>
        <item x="1"/>
        <item x="0"/>
        <item t="default"/>
      </items>
    </pivotField>
    <pivotField showAll="0"/>
    <pivotField numFmtId="14" showAll="0"/>
    <pivotField showAll="0"/>
    <pivotField showAll="0"/>
    <pivotField showAll="0"/>
    <pivotField showAll="0" defaultSubtotal="0"/>
  </pivotFields>
  <rowFields count="1">
    <field x="5"/>
  </rowFields>
  <rowItems count="6">
    <i>
      <x/>
    </i>
    <i>
      <x v="1"/>
    </i>
    <i>
      <x v="2"/>
    </i>
    <i>
      <x v="3"/>
    </i>
    <i>
      <x v="4"/>
    </i>
    <i t="grand">
      <x/>
    </i>
  </rowItems>
  <colItems count="1">
    <i/>
  </colItems>
  <dataFields count="1">
    <dataField name="Average of Salary" fld="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3"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65:F72" firstHeaderRow="1" firstDataRow="1" firstDataCol="1"/>
  <pivotFields count="12">
    <pivotField dataField="1" showAll="0">
      <items count="11">
        <item x="8"/>
        <item x="7"/>
        <item x="5"/>
        <item x="1"/>
        <item x="3"/>
        <item x="6"/>
        <item x="0"/>
        <item x="2"/>
        <item x="9"/>
        <item x="4"/>
        <item t="default"/>
      </items>
    </pivotField>
    <pivotField axis="axisRow" showAll="0">
      <items count="7">
        <item x="0"/>
        <item x="4"/>
        <item x="2"/>
        <item x="3"/>
        <item x="5"/>
        <item x="1"/>
        <item t="default"/>
      </items>
    </pivotField>
    <pivotField showAll="0"/>
    <pivotField showAll="0"/>
    <pivotField showAll="0"/>
    <pivotField showAll="0"/>
    <pivotField showAll="0"/>
    <pivotField numFmtId="14" showAll="0"/>
    <pivotField showAll="0"/>
    <pivotField showAll="0">
      <items count="6">
        <item x="3"/>
        <item x="4"/>
        <item x="2"/>
        <item x="0"/>
        <item x="1"/>
        <item t="default"/>
      </items>
    </pivotField>
    <pivotField showAll="0"/>
    <pivotField showAll="0" defaultSubtotal="0"/>
  </pivotFields>
  <rowFields count="1">
    <field x="1"/>
  </rowFields>
  <rowItems count="7">
    <i>
      <x/>
    </i>
    <i>
      <x v="1"/>
    </i>
    <i>
      <x v="2"/>
    </i>
    <i>
      <x v="3"/>
    </i>
    <i>
      <x v="4"/>
    </i>
    <i>
      <x v="5"/>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9:D13" firstHeaderRow="1" firstDataRow="1" firstDataCol="1"/>
  <pivotFields count="12">
    <pivotField showAll="0"/>
    <pivotField showAll="0"/>
    <pivotField showAll="0"/>
    <pivotField showAll="0"/>
    <pivotField showAll="0">
      <items count="6">
        <item x="1"/>
        <item x="0"/>
        <item x="3"/>
        <item x="4"/>
        <item x="2"/>
        <item t="default"/>
      </items>
    </pivotField>
    <pivotField showAll="0">
      <items count="6">
        <item x="4"/>
        <item x="3"/>
        <item x="2"/>
        <item x="1"/>
        <item x="0"/>
        <item t="default"/>
      </items>
    </pivotField>
    <pivotField axis="axisRow" showAll="0">
      <items count="4">
        <item x="0"/>
        <item x="2"/>
        <item x="1"/>
        <item t="default"/>
      </items>
    </pivotField>
    <pivotField numFmtId="14" showAll="0"/>
    <pivotField showAll="0"/>
    <pivotField showAll="0">
      <items count="6">
        <item x="3"/>
        <item x="4"/>
        <item x="2"/>
        <item x="0"/>
        <item x="1"/>
        <item t="default"/>
      </items>
    </pivotField>
    <pivotField showAll="0"/>
    <pivotField showAll="0" defaultSubtotal="0"/>
  </pivotFields>
  <rowFields count="1">
    <field x="6"/>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7"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B26" firstHeaderRow="1" firstDataRow="1" firstDataCol="1"/>
  <pivotFields count="12">
    <pivotField showAll="0"/>
    <pivotField showAll="0"/>
    <pivotField dataField="1" showAll="0"/>
    <pivotField showAll="0"/>
    <pivotField axis="axisRow" showAll="0">
      <items count="6">
        <item x="1"/>
        <item x="0"/>
        <item x="3"/>
        <item x="4"/>
        <item x="2"/>
        <item t="default"/>
      </items>
    </pivotField>
    <pivotField showAll="0"/>
    <pivotField showAll="0"/>
    <pivotField numFmtId="14" showAll="0"/>
    <pivotField showAll="0"/>
    <pivotField showAll="0"/>
    <pivotField showAll="0"/>
    <pivotField showAll="0" defaultSubtotal="0"/>
  </pivotFields>
  <rowFields count="1">
    <field x="4"/>
  </rowFields>
  <rowItems count="6">
    <i>
      <x/>
    </i>
    <i>
      <x v="1"/>
    </i>
    <i>
      <x v="2"/>
    </i>
    <i>
      <x v="3"/>
    </i>
    <i>
      <x v="4"/>
    </i>
    <i t="grand">
      <x/>
    </i>
  </rowItems>
  <colItems count="1">
    <i/>
  </colItems>
  <dataFields count="1">
    <dataField name="Average of Salary" fld="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2"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C43:D47" firstHeaderRow="1" firstDataRow="1" firstDataCol="1"/>
  <pivotFields count="12">
    <pivotField showAll="0"/>
    <pivotField showAll="0"/>
    <pivotField showAll="0"/>
    <pivotField showAll="0"/>
    <pivotField showAll="0"/>
    <pivotField showAll="0"/>
    <pivotField axis="axisRow" showAll="0">
      <items count="4">
        <item x="0"/>
        <item x="2"/>
        <item x="1"/>
        <item t="default"/>
      </items>
    </pivotField>
    <pivotField numFmtId="14" showAll="0"/>
    <pivotField showAll="0"/>
    <pivotField showAll="0">
      <items count="6">
        <item x="3"/>
        <item x="4"/>
        <item x="2"/>
        <item x="0"/>
        <item x="1"/>
        <item t="default"/>
      </items>
    </pivotField>
    <pivotField dataField="1" showAll="0"/>
    <pivotField showAll="0" defaultSubtotal="0"/>
  </pivotFields>
  <rowFields count="1">
    <field x="6"/>
  </rowFields>
  <rowItems count="4">
    <i>
      <x/>
    </i>
    <i>
      <x v="1"/>
    </i>
    <i>
      <x v="2"/>
    </i>
    <i t="grand">
      <x/>
    </i>
  </rowItems>
  <colItems count="1">
    <i/>
  </colItems>
  <dataFields count="1">
    <dataField name="Average of Performance  _Score_Range" fld="10" subtotal="average" baseField="6" baseItem="0"/>
  </dataFields>
  <formats count="6">
    <format dxfId="10">
      <pivotArea collapsedLevelsAreSubtotals="1" fieldPosition="0">
        <references count="1">
          <reference field="6" count="0"/>
        </references>
      </pivotArea>
    </format>
    <format dxfId="9">
      <pivotArea collapsedLevelsAreSubtotals="1" fieldPosition="0">
        <references count="1">
          <reference field="6" count="0"/>
        </references>
      </pivotArea>
    </format>
    <format dxfId="8">
      <pivotArea collapsedLevelsAreSubtotals="1" fieldPosition="0">
        <references count="1">
          <reference field="6" count="0"/>
        </references>
      </pivotArea>
    </format>
    <format dxfId="7">
      <pivotArea collapsedLevelsAreSubtotals="1" fieldPosition="0">
        <references count="1">
          <reference field="6" count="0"/>
        </references>
      </pivotArea>
    </format>
    <format dxfId="6">
      <pivotArea collapsedLevelsAreSubtotals="1" fieldPosition="0">
        <references count="1">
          <reference field="6" count="0"/>
        </references>
      </pivotArea>
    </format>
    <format dxfId="5">
      <pivotArea collapsedLevelsAreSubtotals="1" fieldPosition="0">
        <references count="1">
          <reference field="6" count="0"/>
        </references>
      </pivotArea>
    </format>
  </formats>
  <chartFormats count="2">
    <chartFormat chart="4"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2"/>
  </pivotTables>
  <data>
    <tabular pivotCacheId="1">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osition" sourceName="Position">
  <pivotTables>
    <pivotTable tabId="2" name="PivotTable2"/>
  </pivotTables>
  <data>
    <tabular pivotCacheId="1">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
  <pivotTables>
    <pivotTable tabId="2" name="PivotTable2"/>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erformance_Score" sourceName="Performance Score">
  <pivotTables>
    <pivotTable tabId="2" name="PivotTable2"/>
  </pivotTables>
  <data>
    <tabular pivotCacheId="1">
      <items count="5">
        <i x="3"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columnCount="3" showCaption="0" rowHeight="234950"/>
  <slicer name="Position" cache="Slicer_Position" caption="Position" columnCount="3" showCaption="0" rowHeight="234950"/>
  <slicer name="Year " cache="Slicer_Year" caption="Year " columnCount="3" showCaption="0" rowHeight="234950"/>
  <slicer name="Performance Score" cache="Slicer_Performance_Score" caption="Performance Score" columnCount="3"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79"/>
  <sheetViews>
    <sheetView topLeftCell="B1" workbookViewId="0">
      <selection activeCell="N10" sqref="N10"/>
    </sheetView>
  </sheetViews>
  <sheetFormatPr defaultRowHeight="14.4" x14ac:dyDescent="0.3"/>
  <cols>
    <col min="1" max="1" width="12.5546875" customWidth="1"/>
    <col min="2" max="2" width="12" customWidth="1"/>
    <col min="3" max="4" width="12.5546875" customWidth="1"/>
    <col min="5" max="9" width="12" customWidth="1"/>
    <col min="10" max="11" width="15.5546875" customWidth="1"/>
    <col min="12" max="12" width="10.77734375" customWidth="1"/>
    <col min="13" max="13" width="10.77734375" bestFit="1" customWidth="1"/>
  </cols>
  <sheetData>
    <row r="3" spans="1:8" x14ac:dyDescent="0.3">
      <c r="A3" t="s">
        <v>50</v>
      </c>
      <c r="B3" t="s">
        <v>51</v>
      </c>
      <c r="C3" t="s">
        <v>49</v>
      </c>
      <c r="D3" t="s">
        <v>48</v>
      </c>
    </row>
    <row r="4" spans="1:8" x14ac:dyDescent="0.3">
      <c r="A4" s="4">
        <v>35.802615933412604</v>
      </c>
      <c r="B4" s="4">
        <v>1000</v>
      </c>
      <c r="C4" s="4">
        <v>60216.08643457383</v>
      </c>
      <c r="D4" s="4">
        <v>3.0169999999999999</v>
      </c>
    </row>
    <row r="6" spans="1:8" x14ac:dyDescent="0.3">
      <c r="A6" s="9" t="s">
        <v>52</v>
      </c>
      <c r="B6" s="9"/>
    </row>
    <row r="7" spans="1:8" x14ac:dyDescent="0.3">
      <c r="A7" t="s">
        <v>1</v>
      </c>
      <c r="B7" s="6">
        <v>35.802615933412604</v>
      </c>
    </row>
    <row r="8" spans="1:8" x14ac:dyDescent="0.3">
      <c r="A8" t="s">
        <v>2</v>
      </c>
      <c r="B8" s="6">
        <v>60216.086434573801</v>
      </c>
    </row>
    <row r="9" spans="1:8" x14ac:dyDescent="0.3">
      <c r="A9" t="s">
        <v>57</v>
      </c>
      <c r="B9">
        <v>1000</v>
      </c>
      <c r="D9" s="2" t="s">
        <v>46</v>
      </c>
      <c r="H9" t="s">
        <v>48</v>
      </c>
    </row>
    <row r="10" spans="1:8" x14ac:dyDescent="0.3">
      <c r="D10" s="3">
        <v>2018</v>
      </c>
      <c r="G10" s="3" t="s">
        <v>20</v>
      </c>
      <c r="H10" s="4">
        <v>2.9495412844036699</v>
      </c>
    </row>
    <row r="11" spans="1:8" x14ac:dyDescent="0.3">
      <c r="D11" s="3">
        <v>2019</v>
      </c>
      <c r="G11" s="3" t="s">
        <v>13</v>
      </c>
      <c r="H11" s="4">
        <v>2.93</v>
      </c>
    </row>
    <row r="12" spans="1:8" x14ac:dyDescent="0.3">
      <c r="A12" t="s">
        <v>53</v>
      </c>
      <c r="B12" t="s">
        <v>54</v>
      </c>
      <c r="C12" t="s">
        <v>55</v>
      </c>
      <c r="D12" s="3">
        <v>2020</v>
      </c>
      <c r="G12" s="3" t="s">
        <v>29</v>
      </c>
      <c r="H12" s="4">
        <v>3.150259067357513</v>
      </c>
    </row>
    <row r="13" spans="1:8" x14ac:dyDescent="0.3">
      <c r="A13">
        <v>2018</v>
      </c>
      <c r="B13">
        <v>59233.128834355826</v>
      </c>
      <c r="D13" s="3" t="s">
        <v>47</v>
      </c>
      <c r="G13" s="3" t="s">
        <v>33</v>
      </c>
      <c r="H13" s="4">
        <v>3.1764705882352939</v>
      </c>
    </row>
    <row r="14" spans="1:8" x14ac:dyDescent="0.3">
      <c r="A14">
        <v>2019</v>
      </c>
      <c r="B14">
        <v>60787.781350482313</v>
      </c>
      <c r="C14" s="5">
        <f>(B14-B13)/B13</f>
        <v>2.6246334555009573E-2</v>
      </c>
      <c r="G14" s="3" t="s">
        <v>25</v>
      </c>
      <c r="H14" s="4">
        <v>2.9009900990099009</v>
      </c>
    </row>
    <row r="15" spans="1:8" x14ac:dyDescent="0.3">
      <c r="A15">
        <v>2020</v>
      </c>
      <c r="B15">
        <v>60167.130919220057</v>
      </c>
      <c r="C15" s="5">
        <f>(B15-B14)/B14</f>
        <v>-1.0210118176279384E-2</v>
      </c>
      <c r="G15" s="3" t="s">
        <v>47</v>
      </c>
      <c r="H15" s="4">
        <v>3.0169999999999999</v>
      </c>
    </row>
    <row r="18" spans="1:9" x14ac:dyDescent="0.3">
      <c r="A18" t="s">
        <v>56</v>
      </c>
      <c r="B18" s="5">
        <f>(B15-B13)/B13</f>
        <v>1.5768238201229374E-2</v>
      </c>
      <c r="D18" s="2" t="s">
        <v>46</v>
      </c>
      <c r="E18" t="s">
        <v>49</v>
      </c>
      <c r="G18" s="2" t="s">
        <v>46</v>
      </c>
    </row>
    <row r="19" spans="1:9" x14ac:dyDescent="0.3">
      <c r="D19" s="3" t="s">
        <v>40</v>
      </c>
      <c r="E19" s="4">
        <v>60146.198830409354</v>
      </c>
      <c r="G19" s="3" t="s">
        <v>30</v>
      </c>
    </row>
    <row r="20" spans="1:9" x14ac:dyDescent="0.3">
      <c r="A20" s="2" t="s">
        <v>46</v>
      </c>
      <c r="B20" t="s">
        <v>49</v>
      </c>
      <c r="D20" s="3" t="s">
        <v>39</v>
      </c>
      <c r="E20" s="4">
        <v>59742.857142857145</v>
      </c>
      <c r="G20" s="3" t="s">
        <v>38</v>
      </c>
    </row>
    <row r="21" spans="1:9" x14ac:dyDescent="0.3">
      <c r="A21" s="3" t="s">
        <v>20</v>
      </c>
      <c r="B21" s="4">
        <v>59971.590909090912</v>
      </c>
      <c r="D21" s="3" t="s">
        <v>36</v>
      </c>
      <c r="E21" s="4">
        <v>60029.761904761908</v>
      </c>
      <c r="G21" s="3" t="s">
        <v>27</v>
      </c>
    </row>
    <row r="22" spans="1:9" x14ac:dyDescent="0.3">
      <c r="A22" s="3" t="s">
        <v>13</v>
      </c>
      <c r="B22" s="4">
        <v>60261.627906976741</v>
      </c>
      <c r="D22" s="3" t="s">
        <v>21</v>
      </c>
      <c r="E22" s="4">
        <v>60920.245398773004</v>
      </c>
      <c r="G22" s="3" t="s">
        <v>16</v>
      </c>
    </row>
    <row r="23" spans="1:9" x14ac:dyDescent="0.3">
      <c r="A23" s="3" t="s">
        <v>29</v>
      </c>
      <c r="B23" s="4">
        <v>59756.097560975613</v>
      </c>
      <c r="D23" s="3" t="s">
        <v>14</v>
      </c>
      <c r="E23" s="4">
        <v>60288.461538461539</v>
      </c>
      <c r="G23" s="3" t="s">
        <v>23</v>
      </c>
    </row>
    <row r="24" spans="1:9" x14ac:dyDescent="0.3">
      <c r="A24" s="3" t="s">
        <v>33</v>
      </c>
      <c r="B24" s="4">
        <v>60065.359477124184</v>
      </c>
      <c r="D24" s="3" t="s">
        <v>47</v>
      </c>
      <c r="E24" s="4">
        <v>60216.08643457383</v>
      </c>
      <c r="G24" s="3" t="s">
        <v>47</v>
      </c>
      <c r="H24" s="2" t="s">
        <v>46</v>
      </c>
      <c r="I24" t="s">
        <v>49</v>
      </c>
    </row>
    <row r="25" spans="1:9" x14ac:dyDescent="0.3">
      <c r="A25" s="3" t="s">
        <v>25</v>
      </c>
      <c r="B25" s="4">
        <v>61011.904761904763</v>
      </c>
      <c r="H25" s="3" t="s">
        <v>20</v>
      </c>
      <c r="I25" s="4">
        <v>59971.590909090912</v>
      </c>
    </row>
    <row r="26" spans="1:9" x14ac:dyDescent="0.3">
      <c r="A26" s="3" t="s">
        <v>47</v>
      </c>
      <c r="B26" s="4">
        <v>60216.08643457383</v>
      </c>
      <c r="D26" s="2" t="s">
        <v>46</v>
      </c>
      <c r="E26" t="s">
        <v>51</v>
      </c>
      <c r="H26" s="3" t="s">
        <v>13</v>
      </c>
      <c r="I26" s="4">
        <v>60261.627906976741</v>
      </c>
    </row>
    <row r="27" spans="1:9" x14ac:dyDescent="0.3">
      <c r="D27" s="3" t="s">
        <v>30</v>
      </c>
      <c r="E27" s="4">
        <v>193</v>
      </c>
      <c r="H27" s="3" t="s">
        <v>29</v>
      </c>
      <c r="I27" s="4">
        <v>59756.097560975613</v>
      </c>
    </row>
    <row r="28" spans="1:9" x14ac:dyDescent="0.3">
      <c r="D28" s="3" t="s">
        <v>38</v>
      </c>
      <c r="E28" s="4">
        <v>225</v>
      </c>
      <c r="H28" s="3" t="s">
        <v>33</v>
      </c>
      <c r="I28" s="4">
        <v>60065.359477124184</v>
      </c>
    </row>
    <row r="29" spans="1:9" x14ac:dyDescent="0.3">
      <c r="A29" s="2" t="s">
        <v>46</v>
      </c>
      <c r="B29" t="s">
        <v>51</v>
      </c>
      <c r="D29" s="3" t="s">
        <v>27</v>
      </c>
      <c r="E29" s="4">
        <v>192</v>
      </c>
      <c r="H29" s="3" t="s">
        <v>25</v>
      </c>
      <c r="I29" s="4">
        <v>61011.904761904763</v>
      </c>
    </row>
    <row r="30" spans="1:9" x14ac:dyDescent="0.3">
      <c r="A30" s="3" t="s">
        <v>19</v>
      </c>
      <c r="B30" s="4">
        <v>313</v>
      </c>
      <c r="D30" s="3" t="s">
        <v>16</v>
      </c>
      <c r="E30" s="4">
        <v>189</v>
      </c>
      <c r="H30" s="3" t="s">
        <v>47</v>
      </c>
      <c r="I30" s="4">
        <v>60216.08643457383</v>
      </c>
    </row>
    <row r="31" spans="1:9" x14ac:dyDescent="0.3">
      <c r="A31" s="3" t="s">
        <v>12</v>
      </c>
      <c r="B31" s="4">
        <v>355</v>
      </c>
      <c r="D31" s="3" t="s">
        <v>23</v>
      </c>
      <c r="E31" s="4">
        <v>201</v>
      </c>
    </row>
    <row r="32" spans="1:9" x14ac:dyDescent="0.3">
      <c r="A32" s="3" t="s">
        <v>32</v>
      </c>
      <c r="B32" s="4">
        <v>332</v>
      </c>
      <c r="D32" s="3" t="s">
        <v>47</v>
      </c>
      <c r="E32" s="4">
        <v>1000</v>
      </c>
    </row>
    <row r="33" spans="1:10" x14ac:dyDescent="0.3">
      <c r="A33" s="3" t="s">
        <v>47</v>
      </c>
      <c r="B33" s="4">
        <v>1000</v>
      </c>
      <c r="F33" s="2" t="s">
        <v>46</v>
      </c>
      <c r="G33" t="s">
        <v>49</v>
      </c>
      <c r="I33" s="2" t="s">
        <v>46</v>
      </c>
      <c r="J33" t="s">
        <v>49</v>
      </c>
    </row>
    <row r="34" spans="1:10" x14ac:dyDescent="0.3">
      <c r="F34" s="3">
        <v>1</v>
      </c>
      <c r="G34" s="4">
        <v>60327.380952380954</v>
      </c>
      <c r="I34" s="3" t="s">
        <v>30</v>
      </c>
      <c r="J34" s="8">
        <v>60156.25</v>
      </c>
    </row>
    <row r="35" spans="1:10" x14ac:dyDescent="0.3">
      <c r="A35" s="2" t="s">
        <v>46</v>
      </c>
      <c r="F35" s="3">
        <v>2</v>
      </c>
      <c r="G35" s="4">
        <v>60090.909090909088</v>
      </c>
      <c r="I35" s="3" t="s">
        <v>38</v>
      </c>
      <c r="J35" s="8">
        <v>60638.297872340423</v>
      </c>
    </row>
    <row r="36" spans="1:10" x14ac:dyDescent="0.3">
      <c r="A36" s="3">
        <v>25</v>
      </c>
      <c r="F36" s="3">
        <v>3</v>
      </c>
      <c r="G36" s="4">
        <v>59705.882352941175</v>
      </c>
      <c r="I36" s="3" t="s">
        <v>27</v>
      </c>
      <c r="J36" s="8">
        <v>59705.882352941175</v>
      </c>
    </row>
    <row r="37" spans="1:10" x14ac:dyDescent="0.3">
      <c r="A37" s="3">
        <v>30</v>
      </c>
      <c r="F37" s="3">
        <v>4</v>
      </c>
      <c r="G37" s="4">
        <v>60638.297872340423</v>
      </c>
      <c r="I37" s="3" t="s">
        <v>16</v>
      </c>
      <c r="J37" s="8">
        <v>60152.439024390245</v>
      </c>
    </row>
    <row r="38" spans="1:10" x14ac:dyDescent="0.3">
      <c r="A38" s="3">
        <v>35</v>
      </c>
      <c r="F38" s="3">
        <v>5</v>
      </c>
      <c r="G38" s="4">
        <v>60220.125786163524</v>
      </c>
      <c r="I38" s="3" t="s">
        <v>23</v>
      </c>
      <c r="J38" s="8">
        <v>60327.380952380954</v>
      </c>
    </row>
    <row r="39" spans="1:10" x14ac:dyDescent="0.3">
      <c r="A39" s="3">
        <v>40</v>
      </c>
      <c r="F39" s="3" t="s">
        <v>47</v>
      </c>
      <c r="G39" s="4">
        <v>60216.08643457383</v>
      </c>
      <c r="I39" s="3" t="s">
        <v>47</v>
      </c>
      <c r="J39" s="4">
        <v>60216.08643457383</v>
      </c>
    </row>
    <row r="40" spans="1:10" x14ac:dyDescent="0.3">
      <c r="A40" s="3">
        <v>50</v>
      </c>
    </row>
    <row r="41" spans="1:10" x14ac:dyDescent="0.3">
      <c r="A41" s="3" t="s">
        <v>18</v>
      </c>
    </row>
    <row r="42" spans="1:10" x14ac:dyDescent="0.3">
      <c r="A42" s="3" t="s">
        <v>47</v>
      </c>
    </row>
    <row r="43" spans="1:10" x14ac:dyDescent="0.3">
      <c r="C43" s="2" t="s">
        <v>46</v>
      </c>
      <c r="D43" t="s">
        <v>48</v>
      </c>
      <c r="F43" s="2" t="s">
        <v>46</v>
      </c>
      <c r="G43" t="s">
        <v>49</v>
      </c>
    </row>
    <row r="44" spans="1:10" x14ac:dyDescent="0.3">
      <c r="C44" s="3">
        <v>2018</v>
      </c>
      <c r="D44" s="7">
        <v>3.0053763440860215</v>
      </c>
      <c r="F44" s="3">
        <v>2018</v>
      </c>
      <c r="G44" s="4">
        <v>59233.128834355826</v>
      </c>
    </row>
    <row r="45" spans="1:10" x14ac:dyDescent="0.3">
      <c r="C45" s="3">
        <v>2019</v>
      </c>
      <c r="D45" s="7">
        <v>2.9766233766233765</v>
      </c>
      <c r="F45" s="3">
        <v>2019</v>
      </c>
      <c r="G45" s="4">
        <v>60787.781350482313</v>
      </c>
    </row>
    <row r="46" spans="1:10" x14ac:dyDescent="0.3">
      <c r="C46" s="3">
        <v>2020</v>
      </c>
      <c r="D46" s="7">
        <v>3.0582750582750582</v>
      </c>
      <c r="F46" s="3">
        <v>2020</v>
      </c>
      <c r="G46" s="4">
        <v>60167.130919220057</v>
      </c>
    </row>
    <row r="47" spans="1:10" x14ac:dyDescent="0.3">
      <c r="C47" s="3" t="s">
        <v>47</v>
      </c>
      <c r="D47" s="4">
        <v>3.0169999999999999</v>
      </c>
      <c r="F47" s="3" t="s">
        <v>47</v>
      </c>
      <c r="G47" s="4">
        <v>60216.08643457383</v>
      </c>
    </row>
    <row r="53" spans="4:8" x14ac:dyDescent="0.3">
      <c r="D53" s="2" t="s">
        <v>46</v>
      </c>
      <c r="E53" t="s">
        <v>51</v>
      </c>
      <c r="G53" s="2" t="s">
        <v>46</v>
      </c>
      <c r="H53" t="s">
        <v>51</v>
      </c>
    </row>
    <row r="54" spans="4:8" x14ac:dyDescent="0.3">
      <c r="D54" s="3">
        <v>2018</v>
      </c>
      <c r="E54" s="4">
        <v>186</v>
      </c>
      <c r="G54" s="3" t="s">
        <v>30</v>
      </c>
      <c r="H54" s="4">
        <v>193</v>
      </c>
    </row>
    <row r="55" spans="4:8" x14ac:dyDescent="0.3">
      <c r="D55" s="3">
        <v>2019</v>
      </c>
      <c r="E55" s="4">
        <v>385</v>
      </c>
      <c r="G55" s="3" t="s">
        <v>38</v>
      </c>
      <c r="H55" s="4">
        <v>225</v>
      </c>
    </row>
    <row r="56" spans="4:8" x14ac:dyDescent="0.3">
      <c r="D56" s="3">
        <v>2020</v>
      </c>
      <c r="E56" s="4">
        <v>429</v>
      </c>
      <c r="G56" s="3" t="s">
        <v>27</v>
      </c>
      <c r="H56" s="4">
        <v>192</v>
      </c>
    </row>
    <row r="57" spans="4:8" x14ac:dyDescent="0.3">
      <c r="D57" s="3" t="s">
        <v>47</v>
      </c>
      <c r="E57" s="4">
        <v>1000</v>
      </c>
      <c r="G57" s="3" t="s">
        <v>16</v>
      </c>
      <c r="H57" s="4">
        <v>189</v>
      </c>
    </row>
    <row r="58" spans="4:8" x14ac:dyDescent="0.3">
      <c r="G58" s="3" t="s">
        <v>23</v>
      </c>
      <c r="H58" s="4">
        <v>201</v>
      </c>
    </row>
    <row r="59" spans="4:8" x14ac:dyDescent="0.3">
      <c r="G59" s="3" t="s">
        <v>47</v>
      </c>
      <c r="H59" s="4">
        <v>1000</v>
      </c>
    </row>
    <row r="65" spans="3:6" x14ac:dyDescent="0.3">
      <c r="E65" s="2" t="s">
        <v>46</v>
      </c>
      <c r="F65" t="s">
        <v>51</v>
      </c>
    </row>
    <row r="66" spans="3:6" x14ac:dyDescent="0.3">
      <c r="E66" s="3">
        <v>25</v>
      </c>
      <c r="F66" s="4">
        <v>171</v>
      </c>
    </row>
    <row r="67" spans="3:6" x14ac:dyDescent="0.3">
      <c r="E67" s="3">
        <v>30</v>
      </c>
      <c r="F67" s="4">
        <v>176</v>
      </c>
    </row>
    <row r="68" spans="3:6" x14ac:dyDescent="0.3">
      <c r="E68" s="3">
        <v>35</v>
      </c>
      <c r="F68" s="4">
        <v>163</v>
      </c>
    </row>
    <row r="69" spans="3:6" x14ac:dyDescent="0.3">
      <c r="E69" s="3">
        <v>40</v>
      </c>
      <c r="F69" s="4">
        <v>170</v>
      </c>
    </row>
    <row r="70" spans="3:6" x14ac:dyDescent="0.3">
      <c r="E70" s="3">
        <v>50</v>
      </c>
      <c r="F70" s="4">
        <v>161</v>
      </c>
    </row>
    <row r="71" spans="3:6" x14ac:dyDescent="0.3">
      <c r="E71" s="3" t="s">
        <v>18</v>
      </c>
      <c r="F71" s="4">
        <v>159</v>
      </c>
    </row>
    <row r="72" spans="3:6" x14ac:dyDescent="0.3">
      <c r="E72" s="3" t="s">
        <v>47</v>
      </c>
      <c r="F72" s="4">
        <v>1000</v>
      </c>
    </row>
    <row r="75" spans="3:6" x14ac:dyDescent="0.3">
      <c r="C75" s="2" t="s">
        <v>46</v>
      </c>
      <c r="D75" t="s">
        <v>49</v>
      </c>
    </row>
    <row r="76" spans="3:6" x14ac:dyDescent="0.3">
      <c r="C76" s="3">
        <v>2018</v>
      </c>
      <c r="D76" s="4">
        <v>59233.128834355826</v>
      </c>
    </row>
    <row r="77" spans="3:6" x14ac:dyDescent="0.3">
      <c r="C77" s="3">
        <v>2019</v>
      </c>
      <c r="D77" s="4">
        <v>60787.781350482313</v>
      </c>
    </row>
    <row r="78" spans="3:6" x14ac:dyDescent="0.3">
      <c r="C78" s="3">
        <v>2020</v>
      </c>
      <c r="D78" s="4">
        <v>60167.130919220057</v>
      </c>
    </row>
    <row r="79" spans="3:6" x14ac:dyDescent="0.3">
      <c r="C79" s="3" t="s">
        <v>47</v>
      </c>
      <c r="D79" s="4">
        <v>60216.08643457383</v>
      </c>
    </row>
  </sheetData>
  <mergeCells count="1">
    <mergeCell ref="A6:B6"/>
  </mergeCells>
  <pageMargins left="0.7" right="0.7" top="0.75" bottom="0.75" header="0.3" footer="0.3"/>
  <pageSetup orientation="portrait" r:id="rId19"/>
  <drawing r:id="rId20"/>
  <extLst>
    <ext xmlns:x14="http://schemas.microsoft.com/office/spreadsheetml/2009/9/main" uri="{78C0D931-6437-407d-A8EE-F0AAD7539E65}">
      <x14:conditionalFormattings>
        <x14:conditionalFormatting xmlns:xm="http://schemas.microsoft.com/office/excel/2006/main">
          <x14:cfRule type="iconSet" priority="5" id="{5CF4EA02-4630-4972-AA4A-F9BCAE77DCC8}">
            <x14:iconSet iconSet="3Triangles">
              <x14:cfvo type="percent">
                <xm:f>0</xm:f>
              </x14:cfvo>
              <x14:cfvo type="percent">
                <xm:f>33</xm:f>
              </x14:cfvo>
              <x14:cfvo type="percent">
                <xm:f>67</xm:f>
              </x14:cfvo>
            </x14:iconSet>
          </x14:cfRule>
          <xm:sqref>D14</xm:sqref>
        </x14:conditionalFormatting>
        <x14:conditionalFormatting xmlns:xm="http://schemas.microsoft.com/office/excel/2006/main">
          <x14:cfRule type="iconSet" priority="4" id="{439D0740-F49E-42F2-BC14-9647FD930E29}">
            <x14:iconSet iconSet="3Triangles">
              <x14:cfvo type="percent">
                <xm:f>0</xm:f>
              </x14:cfvo>
              <x14:cfvo type="percent">
                <xm:f>33</xm:f>
              </x14:cfvo>
              <x14:cfvo type="percent">
                <xm:f>67</xm:f>
              </x14:cfvo>
            </x14:iconSet>
          </x14:cfRule>
          <xm:sqref>C14:C15</xm:sqref>
        </x14:conditionalFormatting>
        <x14:conditionalFormatting xmlns:xm="http://schemas.microsoft.com/office/excel/2006/main">
          <x14:cfRule type="iconSet" priority="3" id="{7C604FD8-6E70-4BA7-A193-C9D1C893A728}">
            <x14:iconSet iconSet="3Triangles">
              <x14:cfvo type="percent">
                <xm:f>0</xm:f>
              </x14:cfvo>
              <x14:cfvo type="percent">
                <xm:f>33</xm:f>
              </x14:cfvo>
              <x14:cfvo type="percent">
                <xm:f>67</xm:f>
              </x14:cfvo>
            </x14:iconSet>
          </x14:cfRule>
          <xm:sqref>G14</xm:sqref>
        </x14:conditionalFormatting>
        <x14:conditionalFormatting xmlns:xm="http://schemas.microsoft.com/office/excel/2006/main">
          <x14:cfRule type="iconSet" priority="2" id="{5E4A0711-A5E3-4C0C-A49F-FFCC2F588E07}">
            <x14:iconSet iconSet="3Triangles">
              <x14:cfvo type="percent">
                <xm:f>0</xm:f>
              </x14:cfvo>
              <x14:cfvo type="percent">
                <xm:f>33</xm:f>
              </x14:cfvo>
              <x14:cfvo type="percent">
                <xm:f>67</xm:f>
              </x14:cfvo>
            </x14:iconSet>
          </x14:cfRule>
          <xm:sqref>H29</xm:sqref>
        </x14:conditionalFormatting>
      </x14:conditionalFormattings>
    </ext>
    <ext xmlns:x14="http://schemas.microsoft.com/office/spreadsheetml/2009/9/main" uri="{A8765BA9-456A-4dab-B4F3-ACF838C121DE}">
      <x14:slicerList>
        <x14:slicer r:id="rId2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N1" sqref="N1"/>
    </sheetView>
  </sheetViews>
  <sheetFormatPr defaultRowHeight="14.4" x14ac:dyDescent="0.3"/>
  <cols>
    <col min="12" max="12" width="8.6640625"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workbookViewId="0">
      <selection activeCell="N6" sqref="N6"/>
    </sheetView>
  </sheetViews>
  <sheetFormatPr defaultRowHeight="14.4" x14ac:dyDescent="0.3"/>
  <cols>
    <col min="1" max="1" width="8.109375" bestFit="1" customWidth="1"/>
    <col min="2" max="2" width="4" bestFit="1" customWidth="1"/>
    <col min="3" max="3" width="6" bestFit="1" customWidth="1"/>
    <col min="4" max="4" width="6.88671875" bestFit="1" customWidth="1"/>
    <col min="5" max="5" width="10.77734375" bestFit="1" customWidth="1"/>
    <col min="6" max="6" width="8.21875" bestFit="1" customWidth="1"/>
    <col min="7" max="7" width="5.109375" bestFit="1" customWidth="1"/>
    <col min="8" max="8" width="10.88671875" bestFit="1" customWidth="1"/>
    <col min="9" max="9" width="9.33203125" bestFit="1" customWidth="1"/>
    <col min="10" max="10" width="16.6640625" bestFit="1" customWidth="1"/>
    <col min="11" max="11" width="24.33203125" bestFit="1" customWidth="1"/>
  </cols>
  <sheetData>
    <row r="1" spans="1:12" x14ac:dyDescent="0.3">
      <c r="A1" t="s">
        <v>0</v>
      </c>
      <c r="B1" t="s">
        <v>1</v>
      </c>
      <c r="C1" t="s">
        <v>2</v>
      </c>
      <c r="D1" t="s">
        <v>3</v>
      </c>
      <c r="E1" t="s">
        <v>4</v>
      </c>
      <c r="F1" t="s">
        <v>5</v>
      </c>
      <c r="G1" t="s">
        <v>6</v>
      </c>
      <c r="H1" t="s">
        <v>7</v>
      </c>
      <c r="I1" t="s">
        <v>8</v>
      </c>
      <c r="J1" t="s">
        <v>9</v>
      </c>
      <c r="K1" t="s">
        <v>10</v>
      </c>
      <c r="L1" t="s">
        <v>45</v>
      </c>
    </row>
    <row r="2" spans="1:12" x14ac:dyDescent="0.3">
      <c r="A2" t="s">
        <v>11</v>
      </c>
      <c r="B2">
        <v>25</v>
      </c>
      <c r="C2">
        <v>50000</v>
      </c>
      <c r="D2" t="s">
        <v>12</v>
      </c>
      <c r="E2" t="s">
        <v>13</v>
      </c>
      <c r="F2" t="s">
        <v>14</v>
      </c>
      <c r="G2">
        <v>2018</v>
      </c>
      <c r="H2" s="1">
        <v>43195</v>
      </c>
      <c r="I2" t="s">
        <v>15</v>
      </c>
      <c r="J2" t="s">
        <v>16</v>
      </c>
      <c r="K2">
        <v>2</v>
      </c>
      <c r="L2" t="str">
        <f>IF(AND(C2&gt; Sheet1!B8,K2&lt;3), "Misaligned","Aligned")</f>
        <v>Aligned</v>
      </c>
    </row>
    <row r="3" spans="1:12" x14ac:dyDescent="0.3">
      <c r="A3" t="s">
        <v>17</v>
      </c>
      <c r="B3" t="s">
        <v>18</v>
      </c>
      <c r="C3">
        <v>65000</v>
      </c>
      <c r="D3" t="s">
        <v>19</v>
      </c>
      <c r="E3" t="s">
        <v>20</v>
      </c>
      <c r="F3" t="s">
        <v>21</v>
      </c>
      <c r="G3">
        <v>2020</v>
      </c>
      <c r="H3" s="1">
        <v>43881</v>
      </c>
      <c r="I3" t="s">
        <v>22</v>
      </c>
      <c r="J3" t="s">
        <v>23</v>
      </c>
      <c r="K3">
        <v>1</v>
      </c>
      <c r="L3" t="str">
        <f>IF(AND(C3&gt; Sheet1!B9,K3&lt;3), "Misaligned","Aligned")</f>
        <v>Misaligned</v>
      </c>
    </row>
    <row r="4" spans="1:12" x14ac:dyDescent="0.3">
      <c r="A4" t="s">
        <v>24</v>
      </c>
      <c r="B4">
        <v>35</v>
      </c>
      <c r="C4">
        <v>60000</v>
      </c>
      <c r="D4" t="s">
        <v>19</v>
      </c>
      <c r="E4" t="s">
        <v>25</v>
      </c>
      <c r="F4" t="s">
        <v>21</v>
      </c>
      <c r="G4">
        <v>2020</v>
      </c>
      <c r="H4" s="1">
        <v>43845</v>
      </c>
      <c r="I4" t="s">
        <v>26</v>
      </c>
      <c r="J4" t="s">
        <v>27</v>
      </c>
      <c r="K4">
        <v>3</v>
      </c>
      <c r="L4" t="str">
        <f>IF(AND(C4&gt; Sheet1!B10,K4&lt;3), "Misaligned","Aligned")</f>
        <v>Aligned</v>
      </c>
    </row>
    <row r="5" spans="1:12" x14ac:dyDescent="0.3">
      <c r="A5" t="s">
        <v>28</v>
      </c>
      <c r="B5" t="s">
        <v>18</v>
      </c>
      <c r="C5">
        <v>50000</v>
      </c>
      <c r="D5" t="s">
        <v>19</v>
      </c>
      <c r="E5" t="s">
        <v>29</v>
      </c>
      <c r="F5" t="s">
        <v>14</v>
      </c>
      <c r="G5">
        <v>2018</v>
      </c>
      <c r="H5" s="1">
        <v>43195</v>
      </c>
      <c r="I5" t="s">
        <v>15</v>
      </c>
      <c r="J5" t="s">
        <v>30</v>
      </c>
      <c r="K5">
        <v>5</v>
      </c>
      <c r="L5" t="str">
        <f>IF(AND(C5&gt; Sheet1!B11,K5&lt;3), "Misaligned","Aligned")</f>
        <v>Aligned</v>
      </c>
    </row>
    <row r="6" spans="1:12" x14ac:dyDescent="0.3">
      <c r="A6" t="s">
        <v>11</v>
      </c>
      <c r="B6" t="s">
        <v>18</v>
      </c>
      <c r="C6" t="s">
        <v>18</v>
      </c>
      <c r="D6" t="s">
        <v>19</v>
      </c>
      <c r="E6" t="s">
        <v>20</v>
      </c>
      <c r="F6" t="s">
        <v>14</v>
      </c>
      <c r="G6">
        <v>2020</v>
      </c>
      <c r="H6" s="1">
        <v>43845</v>
      </c>
      <c r="I6" t="s">
        <v>26</v>
      </c>
      <c r="J6" t="s">
        <v>23</v>
      </c>
      <c r="K6">
        <v>1</v>
      </c>
      <c r="L6" t="str">
        <f>IF(AND(C6&gt; Sheet1!B12,K6&lt;3), "Misaligned","Aligned")</f>
        <v>Aligned</v>
      </c>
    </row>
    <row r="7" spans="1:12" x14ac:dyDescent="0.3">
      <c r="A7" t="s">
        <v>31</v>
      </c>
      <c r="B7" t="s">
        <v>18</v>
      </c>
      <c r="C7">
        <v>65000</v>
      </c>
      <c r="D7" t="s">
        <v>32</v>
      </c>
      <c r="E7" t="s">
        <v>33</v>
      </c>
      <c r="F7" t="s">
        <v>21</v>
      </c>
      <c r="G7">
        <v>2019</v>
      </c>
      <c r="H7" s="1">
        <v>43549</v>
      </c>
      <c r="I7" t="s">
        <v>34</v>
      </c>
      <c r="J7" t="s">
        <v>23</v>
      </c>
      <c r="K7">
        <v>1</v>
      </c>
      <c r="L7" t="str">
        <f>IF(AND(C7&gt; Sheet1!B13,K7&lt;3), "Misaligned","Aligned")</f>
        <v>Misaligned</v>
      </c>
    </row>
    <row r="8" spans="1:12" x14ac:dyDescent="0.3">
      <c r="A8" t="s">
        <v>35</v>
      </c>
      <c r="B8" t="s">
        <v>18</v>
      </c>
      <c r="C8">
        <v>50000</v>
      </c>
      <c r="D8" t="s">
        <v>12</v>
      </c>
      <c r="E8" t="s">
        <v>33</v>
      </c>
      <c r="F8" t="s">
        <v>36</v>
      </c>
      <c r="G8">
        <v>2019</v>
      </c>
      <c r="H8" s="1">
        <v>43800</v>
      </c>
      <c r="I8" t="s">
        <v>37</v>
      </c>
      <c r="J8" t="s">
        <v>38</v>
      </c>
      <c r="K8">
        <v>4</v>
      </c>
      <c r="L8" t="str">
        <f>IF(AND(C8&gt; Sheet1!B14,K8&lt;3), "Misaligned","Aligned")</f>
        <v>Aligned</v>
      </c>
    </row>
    <row r="9" spans="1:12" x14ac:dyDescent="0.3">
      <c r="A9" t="s">
        <v>11</v>
      </c>
      <c r="B9">
        <v>40</v>
      </c>
      <c r="C9">
        <v>50000</v>
      </c>
      <c r="D9" t="s">
        <v>32</v>
      </c>
      <c r="E9" t="s">
        <v>13</v>
      </c>
      <c r="F9" t="s">
        <v>21</v>
      </c>
      <c r="G9">
        <v>2019</v>
      </c>
      <c r="H9" s="1">
        <v>43549</v>
      </c>
      <c r="I9" t="s">
        <v>34</v>
      </c>
      <c r="J9" t="s">
        <v>27</v>
      </c>
      <c r="K9">
        <v>3</v>
      </c>
      <c r="L9" t="str">
        <f>IF(AND(C9&gt; Sheet1!B15,K9&lt;3), "Misaligned","Aligned")</f>
        <v>Aligned</v>
      </c>
    </row>
    <row r="10" spans="1:12" x14ac:dyDescent="0.3">
      <c r="A10" t="s">
        <v>24</v>
      </c>
      <c r="B10">
        <v>40</v>
      </c>
      <c r="C10">
        <v>60000</v>
      </c>
      <c r="D10" t="s">
        <v>19</v>
      </c>
      <c r="E10" t="s">
        <v>33</v>
      </c>
      <c r="F10" t="s">
        <v>14</v>
      </c>
      <c r="G10">
        <v>2020</v>
      </c>
      <c r="H10" s="1">
        <v>43845</v>
      </c>
      <c r="I10" t="s">
        <v>26</v>
      </c>
      <c r="J10" t="s">
        <v>27</v>
      </c>
      <c r="K10">
        <v>3</v>
      </c>
      <c r="L10" t="str">
        <f>IF(AND(C10&gt; Sheet1!B16,K10&lt;3), "Misaligned","Aligned")</f>
        <v>Aligned</v>
      </c>
    </row>
    <row r="11" spans="1:12" x14ac:dyDescent="0.3">
      <c r="A11" t="s">
        <v>28</v>
      </c>
      <c r="B11">
        <v>30</v>
      </c>
      <c r="C11" t="s">
        <v>18</v>
      </c>
      <c r="D11" t="s">
        <v>32</v>
      </c>
      <c r="E11" t="s">
        <v>20</v>
      </c>
      <c r="F11" t="s">
        <v>39</v>
      </c>
      <c r="G11">
        <v>2020</v>
      </c>
      <c r="H11" s="1">
        <v>43881</v>
      </c>
      <c r="I11" t="s">
        <v>22</v>
      </c>
      <c r="J11" t="s">
        <v>30</v>
      </c>
      <c r="K11">
        <v>5</v>
      </c>
      <c r="L11" t="str">
        <f>IF(AND(C11&gt; Sheet1!B17,K11&lt;3), "Misaligned","Aligned")</f>
        <v>Aligned</v>
      </c>
    </row>
    <row r="12" spans="1:12" x14ac:dyDescent="0.3">
      <c r="A12" t="s">
        <v>17</v>
      </c>
      <c r="B12">
        <v>25</v>
      </c>
      <c r="C12">
        <v>70000</v>
      </c>
      <c r="D12" t="s">
        <v>12</v>
      </c>
      <c r="E12" t="s">
        <v>33</v>
      </c>
      <c r="F12" t="s">
        <v>40</v>
      </c>
      <c r="G12">
        <v>2019</v>
      </c>
      <c r="H12" s="1">
        <v>43800</v>
      </c>
      <c r="I12" t="s">
        <v>37</v>
      </c>
      <c r="J12" t="s">
        <v>38</v>
      </c>
      <c r="K12">
        <v>4</v>
      </c>
      <c r="L12" t="str">
        <f>IF(AND(C12&gt; Sheet1!B18,K12&lt;3), "Misaligned","Aligned")</f>
        <v>Aligned</v>
      </c>
    </row>
    <row r="13" spans="1:12" x14ac:dyDescent="0.3">
      <c r="A13" t="s">
        <v>24</v>
      </c>
      <c r="B13" t="s">
        <v>18</v>
      </c>
      <c r="C13">
        <v>70000</v>
      </c>
      <c r="D13" t="s">
        <v>32</v>
      </c>
      <c r="E13" t="s">
        <v>20</v>
      </c>
      <c r="F13" t="s">
        <v>39</v>
      </c>
      <c r="G13">
        <v>2019</v>
      </c>
      <c r="H13" s="1">
        <v>43549</v>
      </c>
      <c r="I13" t="s">
        <v>34</v>
      </c>
      <c r="J13" t="s">
        <v>30</v>
      </c>
      <c r="K13">
        <v>5</v>
      </c>
      <c r="L13" t="str">
        <f>IF(AND(C13&gt; Sheet1!B19,K13&lt;3), "Misaligned","Aligned")</f>
        <v>Aligned</v>
      </c>
    </row>
    <row r="14" spans="1:12" x14ac:dyDescent="0.3">
      <c r="A14" t="s">
        <v>24</v>
      </c>
      <c r="B14">
        <v>30</v>
      </c>
      <c r="C14">
        <v>50000</v>
      </c>
      <c r="D14" t="s">
        <v>12</v>
      </c>
      <c r="E14" t="s">
        <v>29</v>
      </c>
      <c r="F14" t="s">
        <v>39</v>
      </c>
      <c r="G14">
        <v>2018</v>
      </c>
      <c r="H14" s="1">
        <v>43195</v>
      </c>
      <c r="I14" t="s">
        <v>15</v>
      </c>
      <c r="J14" t="s">
        <v>16</v>
      </c>
      <c r="K14">
        <v>2</v>
      </c>
      <c r="L14" t="str">
        <f>IF(AND(C14&gt; Sheet1!B20,K14&lt;3), "Misaligned","Aligned")</f>
        <v>Aligned</v>
      </c>
    </row>
    <row r="15" spans="1:12" x14ac:dyDescent="0.3">
      <c r="A15" t="s">
        <v>35</v>
      </c>
      <c r="B15">
        <v>25</v>
      </c>
      <c r="C15">
        <v>55000</v>
      </c>
      <c r="D15" t="s">
        <v>32</v>
      </c>
      <c r="E15" t="s">
        <v>13</v>
      </c>
      <c r="F15" t="s">
        <v>14</v>
      </c>
      <c r="G15">
        <v>2020</v>
      </c>
      <c r="H15" s="1">
        <v>43881</v>
      </c>
      <c r="I15" t="s">
        <v>22</v>
      </c>
      <c r="J15" t="s">
        <v>23</v>
      </c>
      <c r="K15">
        <v>1</v>
      </c>
      <c r="L15" t="str">
        <f>IF(AND(C15&gt; Sheet1!B21,K15&lt;3), "Misaligned","Aligned")</f>
        <v>Aligned</v>
      </c>
    </row>
    <row r="16" spans="1:12" x14ac:dyDescent="0.3">
      <c r="A16" t="s">
        <v>41</v>
      </c>
      <c r="B16">
        <v>50</v>
      </c>
      <c r="C16" t="s">
        <v>18</v>
      </c>
      <c r="D16" t="s">
        <v>12</v>
      </c>
      <c r="E16" t="s">
        <v>33</v>
      </c>
      <c r="F16" t="s">
        <v>21</v>
      </c>
      <c r="G16">
        <v>2019</v>
      </c>
      <c r="H16" s="1">
        <v>43549</v>
      </c>
      <c r="I16" t="s">
        <v>34</v>
      </c>
      <c r="J16" t="s">
        <v>30</v>
      </c>
      <c r="K16">
        <v>5</v>
      </c>
      <c r="L16" t="str">
        <f>IF(AND(C16&gt; Sheet1!B22,K16&lt;3), "Misaligned","Aligned")</f>
        <v>Aligned</v>
      </c>
    </row>
    <row r="17" spans="1:12" x14ac:dyDescent="0.3">
      <c r="A17" t="s">
        <v>28</v>
      </c>
      <c r="B17">
        <v>35</v>
      </c>
      <c r="C17">
        <v>65000</v>
      </c>
      <c r="D17" t="s">
        <v>12</v>
      </c>
      <c r="E17" t="s">
        <v>20</v>
      </c>
      <c r="F17" t="s">
        <v>36</v>
      </c>
      <c r="G17">
        <v>2018</v>
      </c>
      <c r="H17" s="1">
        <v>43195</v>
      </c>
      <c r="I17" t="s">
        <v>15</v>
      </c>
      <c r="J17" t="s">
        <v>23</v>
      </c>
      <c r="K17">
        <v>1</v>
      </c>
      <c r="L17" t="str">
        <f>IF(AND(C17&gt; Sheet1!B23,K17&lt;3), "Misaligned","Aligned")</f>
        <v>Misaligned</v>
      </c>
    </row>
    <row r="18" spans="1:12" x14ac:dyDescent="0.3">
      <c r="A18" t="s">
        <v>42</v>
      </c>
      <c r="B18">
        <v>40</v>
      </c>
      <c r="C18">
        <v>55000</v>
      </c>
      <c r="D18" t="s">
        <v>19</v>
      </c>
      <c r="E18" t="s">
        <v>25</v>
      </c>
      <c r="F18" t="s">
        <v>39</v>
      </c>
      <c r="G18">
        <v>2020</v>
      </c>
      <c r="H18" s="1">
        <v>43845</v>
      </c>
      <c r="I18" t="s">
        <v>26</v>
      </c>
      <c r="J18" t="s">
        <v>38</v>
      </c>
      <c r="K18">
        <v>4</v>
      </c>
      <c r="L18" t="str">
        <f>IF(AND(C18&gt; Sheet1!B24,K18&lt;3), "Misaligned","Aligned")</f>
        <v>Aligned</v>
      </c>
    </row>
    <row r="19" spans="1:12" x14ac:dyDescent="0.3">
      <c r="A19" t="s">
        <v>24</v>
      </c>
      <c r="B19">
        <v>50</v>
      </c>
      <c r="C19">
        <v>55000</v>
      </c>
      <c r="D19" t="s">
        <v>12</v>
      </c>
      <c r="E19" t="s">
        <v>13</v>
      </c>
      <c r="F19" t="s">
        <v>21</v>
      </c>
      <c r="G19">
        <v>2018</v>
      </c>
      <c r="H19" s="1">
        <v>43195</v>
      </c>
      <c r="I19" t="s">
        <v>15</v>
      </c>
      <c r="J19" t="s">
        <v>16</v>
      </c>
      <c r="K19">
        <v>2</v>
      </c>
      <c r="L19" t="str">
        <f>IF(AND(C19&gt; Sheet1!B25,K19&lt;3), "Misaligned","Aligned")</f>
        <v>Aligned</v>
      </c>
    </row>
    <row r="20" spans="1:12" x14ac:dyDescent="0.3">
      <c r="A20" t="s">
        <v>41</v>
      </c>
      <c r="B20">
        <v>25</v>
      </c>
      <c r="C20" t="s">
        <v>18</v>
      </c>
      <c r="D20" t="s">
        <v>19</v>
      </c>
      <c r="E20" t="s">
        <v>29</v>
      </c>
      <c r="F20" t="s">
        <v>36</v>
      </c>
      <c r="G20">
        <v>2019</v>
      </c>
      <c r="H20" s="1">
        <v>43549</v>
      </c>
      <c r="I20" t="s">
        <v>34</v>
      </c>
      <c r="J20" t="s">
        <v>38</v>
      </c>
      <c r="K20">
        <v>4</v>
      </c>
      <c r="L20" t="str">
        <f>IF(AND(C20&gt; Sheet1!B26,K20&lt;3), "Misaligned","Aligned")</f>
        <v>Aligned</v>
      </c>
    </row>
    <row r="21" spans="1:12" x14ac:dyDescent="0.3">
      <c r="A21" t="s">
        <v>42</v>
      </c>
      <c r="B21">
        <v>50</v>
      </c>
      <c r="C21">
        <v>50000</v>
      </c>
      <c r="D21" t="s">
        <v>19</v>
      </c>
      <c r="E21" t="s">
        <v>20</v>
      </c>
      <c r="F21" t="s">
        <v>39</v>
      </c>
      <c r="G21">
        <v>2019</v>
      </c>
      <c r="H21" s="1">
        <v>43549</v>
      </c>
      <c r="I21" t="s">
        <v>34</v>
      </c>
      <c r="J21" t="s">
        <v>30</v>
      </c>
      <c r="K21">
        <v>2</v>
      </c>
      <c r="L21" t="str">
        <f>IF(AND(C21&gt; Sheet1!B27,K21&lt;3), "Misaligned","Aligned")</f>
        <v>Misaligned</v>
      </c>
    </row>
    <row r="22" spans="1:12" x14ac:dyDescent="0.3">
      <c r="A22" t="s">
        <v>28</v>
      </c>
      <c r="B22">
        <v>35</v>
      </c>
      <c r="C22">
        <v>50000</v>
      </c>
      <c r="D22" t="s">
        <v>19</v>
      </c>
      <c r="E22" t="s">
        <v>29</v>
      </c>
      <c r="F22" t="s">
        <v>36</v>
      </c>
      <c r="G22">
        <v>2020</v>
      </c>
      <c r="H22" s="1">
        <v>43845</v>
      </c>
      <c r="I22" t="s">
        <v>26</v>
      </c>
      <c r="J22" t="s">
        <v>16</v>
      </c>
      <c r="K22">
        <v>2</v>
      </c>
      <c r="L22" t="str">
        <f>IF(AND(C22&gt; Sheet1!B28,K22&lt;3), "Misaligned","Aligned")</f>
        <v>Misaligned</v>
      </c>
    </row>
    <row r="23" spans="1:12" x14ac:dyDescent="0.3">
      <c r="A23" t="s">
        <v>43</v>
      </c>
      <c r="B23">
        <v>25</v>
      </c>
      <c r="C23">
        <v>50000</v>
      </c>
      <c r="D23" t="s">
        <v>32</v>
      </c>
      <c r="E23" t="s">
        <v>29</v>
      </c>
      <c r="F23" t="s">
        <v>21</v>
      </c>
      <c r="G23">
        <v>2018</v>
      </c>
      <c r="H23" s="1">
        <v>43195</v>
      </c>
      <c r="I23" t="s">
        <v>15</v>
      </c>
      <c r="J23" t="s">
        <v>23</v>
      </c>
      <c r="K23">
        <v>1</v>
      </c>
      <c r="L23" t="str">
        <f>IF(AND(C23&gt; Sheet1!B29,K23&lt;3), "Misaligned","Aligned")</f>
        <v>Aligned</v>
      </c>
    </row>
    <row r="24" spans="1:12" x14ac:dyDescent="0.3">
      <c r="A24" t="s">
        <v>31</v>
      </c>
      <c r="B24">
        <v>50</v>
      </c>
      <c r="C24">
        <v>50000</v>
      </c>
      <c r="D24" t="s">
        <v>32</v>
      </c>
      <c r="E24" t="s">
        <v>33</v>
      </c>
      <c r="F24" t="s">
        <v>40</v>
      </c>
      <c r="G24">
        <v>2018</v>
      </c>
      <c r="H24" s="1">
        <v>43195</v>
      </c>
      <c r="I24" t="s">
        <v>15</v>
      </c>
      <c r="J24" t="s">
        <v>38</v>
      </c>
      <c r="K24">
        <v>4</v>
      </c>
      <c r="L24" t="str">
        <f>IF(AND(C24&gt; Sheet1!B30,K24&lt;3), "Misaligned","Aligned")</f>
        <v>Aligned</v>
      </c>
    </row>
    <row r="25" spans="1:12" x14ac:dyDescent="0.3">
      <c r="A25" t="s">
        <v>41</v>
      </c>
      <c r="B25">
        <v>40</v>
      </c>
      <c r="C25">
        <v>70000</v>
      </c>
      <c r="D25" t="s">
        <v>32</v>
      </c>
      <c r="E25" t="s">
        <v>33</v>
      </c>
      <c r="F25" t="s">
        <v>21</v>
      </c>
      <c r="G25">
        <v>2020</v>
      </c>
      <c r="H25" s="1">
        <v>43845</v>
      </c>
      <c r="I25" t="s">
        <v>26</v>
      </c>
      <c r="J25" t="s">
        <v>38</v>
      </c>
      <c r="K25">
        <v>4</v>
      </c>
      <c r="L25" t="str">
        <f>IF(AND(C25&gt; Sheet1!B31,K25&lt;3), "Misaligned","Aligned")</f>
        <v>Aligned</v>
      </c>
    </row>
    <row r="26" spans="1:12" x14ac:dyDescent="0.3">
      <c r="A26" t="s">
        <v>44</v>
      </c>
      <c r="B26">
        <v>40</v>
      </c>
      <c r="C26">
        <v>50000</v>
      </c>
      <c r="D26" t="s">
        <v>32</v>
      </c>
      <c r="E26" t="s">
        <v>20</v>
      </c>
      <c r="F26" t="s">
        <v>14</v>
      </c>
      <c r="G26">
        <v>2018</v>
      </c>
      <c r="H26" s="1">
        <v>43195</v>
      </c>
      <c r="I26" t="s">
        <v>15</v>
      </c>
      <c r="J26" t="s">
        <v>30</v>
      </c>
      <c r="K26">
        <v>5</v>
      </c>
      <c r="L26" t="str">
        <f>IF(AND(C26&gt; Sheet1!B32,K26&lt;3), "Misaligned","Aligned")</f>
        <v>Aligned</v>
      </c>
    </row>
    <row r="27" spans="1:12" x14ac:dyDescent="0.3">
      <c r="A27" t="s">
        <v>43</v>
      </c>
      <c r="B27">
        <v>30</v>
      </c>
      <c r="C27">
        <v>70000</v>
      </c>
      <c r="D27" t="s">
        <v>12</v>
      </c>
      <c r="E27" t="s">
        <v>25</v>
      </c>
      <c r="F27" t="s">
        <v>36</v>
      </c>
      <c r="G27">
        <v>2020</v>
      </c>
      <c r="H27" s="1">
        <v>43845</v>
      </c>
      <c r="I27" t="s">
        <v>26</v>
      </c>
      <c r="J27" t="s">
        <v>38</v>
      </c>
      <c r="K27">
        <v>4</v>
      </c>
      <c r="L27" t="str">
        <f>IF(AND(C27&gt; Sheet1!B33,K27&lt;3), "Misaligned","Aligned")</f>
        <v>Aligned</v>
      </c>
    </row>
    <row r="28" spans="1:12" x14ac:dyDescent="0.3">
      <c r="A28" t="s">
        <v>31</v>
      </c>
      <c r="B28">
        <v>50</v>
      </c>
      <c r="C28">
        <v>70000</v>
      </c>
      <c r="D28" t="s">
        <v>12</v>
      </c>
      <c r="E28" t="s">
        <v>20</v>
      </c>
      <c r="F28" t="s">
        <v>40</v>
      </c>
      <c r="G28">
        <v>2020</v>
      </c>
      <c r="H28" s="1">
        <v>43881</v>
      </c>
      <c r="I28" t="s">
        <v>22</v>
      </c>
      <c r="J28" t="s">
        <v>30</v>
      </c>
      <c r="K28">
        <v>5</v>
      </c>
      <c r="L28" t="str">
        <f>IF(AND(C28&gt; Sheet1!B34,K28&lt;3), "Misaligned","Aligned")</f>
        <v>Aligned</v>
      </c>
    </row>
    <row r="29" spans="1:12" x14ac:dyDescent="0.3">
      <c r="A29" t="s">
        <v>35</v>
      </c>
      <c r="B29" t="s">
        <v>18</v>
      </c>
      <c r="C29">
        <v>50000</v>
      </c>
      <c r="D29" t="s">
        <v>32</v>
      </c>
      <c r="E29" t="s">
        <v>25</v>
      </c>
      <c r="F29" t="s">
        <v>36</v>
      </c>
      <c r="G29">
        <v>2019</v>
      </c>
      <c r="H29" s="1">
        <v>43549</v>
      </c>
      <c r="I29" t="s">
        <v>34</v>
      </c>
      <c r="J29" t="s">
        <v>27</v>
      </c>
      <c r="K29">
        <v>3</v>
      </c>
      <c r="L29" t="str">
        <f>IF(AND(C29&gt; Sheet1!B35,K29&lt;3), "Misaligned","Aligned")</f>
        <v>Aligned</v>
      </c>
    </row>
    <row r="30" spans="1:12" x14ac:dyDescent="0.3">
      <c r="A30" t="s">
        <v>11</v>
      </c>
      <c r="B30">
        <v>50</v>
      </c>
      <c r="C30">
        <v>60000</v>
      </c>
      <c r="D30" t="s">
        <v>12</v>
      </c>
      <c r="E30" t="s">
        <v>29</v>
      </c>
      <c r="F30" t="s">
        <v>36</v>
      </c>
      <c r="G30">
        <v>2020</v>
      </c>
      <c r="H30" s="1">
        <v>43881</v>
      </c>
      <c r="I30" t="s">
        <v>22</v>
      </c>
      <c r="J30" t="s">
        <v>27</v>
      </c>
      <c r="K30">
        <v>3</v>
      </c>
      <c r="L30" t="str">
        <f>IF(AND(C30&gt; Sheet1!B36,K30&lt;3), "Misaligned","Aligned")</f>
        <v>Aligned</v>
      </c>
    </row>
    <row r="31" spans="1:12" x14ac:dyDescent="0.3">
      <c r="A31" t="s">
        <v>17</v>
      </c>
      <c r="B31">
        <v>25</v>
      </c>
      <c r="C31">
        <v>65000</v>
      </c>
      <c r="D31" t="s">
        <v>12</v>
      </c>
      <c r="E31" t="s">
        <v>13</v>
      </c>
      <c r="F31" t="s">
        <v>39</v>
      </c>
      <c r="G31">
        <v>2019</v>
      </c>
      <c r="H31" s="1">
        <v>43800</v>
      </c>
      <c r="I31" t="s">
        <v>37</v>
      </c>
      <c r="J31" t="s">
        <v>27</v>
      </c>
      <c r="K31">
        <v>3</v>
      </c>
      <c r="L31" t="str">
        <f>IF(AND(C31&gt; Sheet1!B37,K31&lt;3), "Misaligned","Aligned")</f>
        <v>Aligned</v>
      </c>
    </row>
    <row r="32" spans="1:12" x14ac:dyDescent="0.3">
      <c r="A32" t="s">
        <v>44</v>
      </c>
      <c r="B32">
        <v>25</v>
      </c>
      <c r="C32">
        <v>55000</v>
      </c>
      <c r="D32" t="s">
        <v>19</v>
      </c>
      <c r="E32" t="s">
        <v>20</v>
      </c>
      <c r="F32" t="s">
        <v>14</v>
      </c>
      <c r="G32">
        <v>2019</v>
      </c>
      <c r="H32" s="1">
        <v>43800</v>
      </c>
      <c r="I32" t="s">
        <v>37</v>
      </c>
      <c r="J32" t="s">
        <v>38</v>
      </c>
      <c r="K32">
        <v>4</v>
      </c>
      <c r="L32" t="str">
        <f>IF(AND(C32&gt; Sheet1!B38,K32&lt;3), "Misaligned","Aligned")</f>
        <v>Aligned</v>
      </c>
    </row>
    <row r="33" spans="1:12" x14ac:dyDescent="0.3">
      <c r="A33" t="s">
        <v>35</v>
      </c>
      <c r="B33">
        <v>50</v>
      </c>
      <c r="C33">
        <v>70000</v>
      </c>
      <c r="D33" t="s">
        <v>19</v>
      </c>
      <c r="E33" t="s">
        <v>20</v>
      </c>
      <c r="F33" t="s">
        <v>36</v>
      </c>
      <c r="G33">
        <v>2019</v>
      </c>
      <c r="H33" s="1">
        <v>43800</v>
      </c>
      <c r="I33" t="s">
        <v>37</v>
      </c>
      <c r="J33" t="s">
        <v>38</v>
      </c>
      <c r="K33">
        <v>4</v>
      </c>
      <c r="L33" t="str">
        <f>IF(AND(C33&gt; Sheet1!B39,K33&lt;3), "Misaligned","Aligned")</f>
        <v>Aligned</v>
      </c>
    </row>
    <row r="34" spans="1:12" x14ac:dyDescent="0.3">
      <c r="A34" t="s">
        <v>28</v>
      </c>
      <c r="B34">
        <v>35</v>
      </c>
      <c r="C34" t="s">
        <v>18</v>
      </c>
      <c r="D34" t="s">
        <v>19</v>
      </c>
      <c r="E34" t="s">
        <v>25</v>
      </c>
      <c r="F34" t="s">
        <v>21</v>
      </c>
      <c r="G34">
        <v>2020</v>
      </c>
      <c r="H34" s="1">
        <v>43845</v>
      </c>
      <c r="I34" t="s">
        <v>26</v>
      </c>
      <c r="J34" t="s">
        <v>30</v>
      </c>
      <c r="K34">
        <v>5</v>
      </c>
      <c r="L34" t="str">
        <f>IF(AND(C34&gt; Sheet1!B40,K34&lt;3), "Misaligned","Aligned")</f>
        <v>Aligned</v>
      </c>
    </row>
    <row r="35" spans="1:12" x14ac:dyDescent="0.3">
      <c r="A35" t="s">
        <v>35</v>
      </c>
      <c r="B35">
        <v>40</v>
      </c>
      <c r="C35" t="s">
        <v>18</v>
      </c>
      <c r="D35" t="s">
        <v>19</v>
      </c>
      <c r="E35" t="s">
        <v>29</v>
      </c>
      <c r="F35" t="s">
        <v>21</v>
      </c>
      <c r="G35">
        <v>2018</v>
      </c>
      <c r="H35" s="1">
        <v>43195</v>
      </c>
      <c r="I35" t="s">
        <v>15</v>
      </c>
      <c r="J35" t="s">
        <v>16</v>
      </c>
      <c r="K35">
        <v>2</v>
      </c>
      <c r="L35" t="str">
        <f>IF(AND(C35&gt; Sheet1!B41,K35&lt;3), "Misaligned","Aligned")</f>
        <v>Misaligned</v>
      </c>
    </row>
    <row r="36" spans="1:12" x14ac:dyDescent="0.3">
      <c r="A36" t="s">
        <v>11</v>
      </c>
      <c r="B36">
        <v>25</v>
      </c>
      <c r="C36">
        <v>65000</v>
      </c>
      <c r="D36" t="s">
        <v>12</v>
      </c>
      <c r="E36" t="s">
        <v>29</v>
      </c>
      <c r="F36" t="s">
        <v>39</v>
      </c>
      <c r="G36">
        <v>2020</v>
      </c>
      <c r="H36" s="1">
        <v>43881</v>
      </c>
      <c r="I36" t="s">
        <v>22</v>
      </c>
      <c r="J36" t="s">
        <v>30</v>
      </c>
      <c r="K36">
        <v>5</v>
      </c>
      <c r="L36" t="str">
        <f>IF(AND(C36&gt; Sheet1!B42,K36&lt;3), "Misaligned","Aligned")</f>
        <v>Aligned</v>
      </c>
    </row>
    <row r="37" spans="1:12" x14ac:dyDescent="0.3">
      <c r="A37" t="s">
        <v>28</v>
      </c>
      <c r="B37">
        <v>40</v>
      </c>
      <c r="C37" t="s">
        <v>18</v>
      </c>
      <c r="D37" t="s">
        <v>32</v>
      </c>
      <c r="E37" t="s">
        <v>25</v>
      </c>
      <c r="F37" t="s">
        <v>14</v>
      </c>
      <c r="G37">
        <v>2020</v>
      </c>
      <c r="H37" s="1">
        <v>43881</v>
      </c>
      <c r="I37" t="s">
        <v>22</v>
      </c>
      <c r="J37" t="s">
        <v>27</v>
      </c>
      <c r="K37">
        <v>3</v>
      </c>
      <c r="L37" t="str">
        <f>IF(AND(C37&gt; Sheet1!B43,K37&lt;3), "Misaligned","Aligned")</f>
        <v>Aligned</v>
      </c>
    </row>
    <row r="38" spans="1:12" x14ac:dyDescent="0.3">
      <c r="A38" t="s">
        <v>44</v>
      </c>
      <c r="B38">
        <v>25</v>
      </c>
      <c r="C38">
        <v>60000</v>
      </c>
      <c r="D38" t="s">
        <v>12</v>
      </c>
      <c r="E38" t="s">
        <v>29</v>
      </c>
      <c r="F38" t="s">
        <v>14</v>
      </c>
      <c r="G38">
        <v>2020</v>
      </c>
      <c r="H38" s="1">
        <v>43881</v>
      </c>
      <c r="I38" t="s">
        <v>22</v>
      </c>
      <c r="J38" t="s">
        <v>30</v>
      </c>
      <c r="K38">
        <v>5</v>
      </c>
      <c r="L38" t="str">
        <f>IF(AND(C38&gt; Sheet1!B44,K38&lt;3), "Misaligned","Aligned")</f>
        <v>Aligned</v>
      </c>
    </row>
    <row r="39" spans="1:12" x14ac:dyDescent="0.3">
      <c r="A39" t="s">
        <v>11</v>
      </c>
      <c r="B39">
        <v>30</v>
      </c>
      <c r="C39" t="s">
        <v>18</v>
      </c>
      <c r="D39" t="s">
        <v>12</v>
      </c>
      <c r="E39" t="s">
        <v>33</v>
      </c>
      <c r="F39" t="s">
        <v>21</v>
      </c>
      <c r="G39">
        <v>2020</v>
      </c>
      <c r="H39" s="1">
        <v>43881</v>
      </c>
      <c r="I39" t="s">
        <v>22</v>
      </c>
      <c r="J39" t="s">
        <v>16</v>
      </c>
      <c r="K39">
        <v>2</v>
      </c>
      <c r="L39" t="str">
        <f>IF(AND(C39&gt; Sheet1!B45,K39&lt;3), "Misaligned","Aligned")</f>
        <v>Misaligned</v>
      </c>
    </row>
    <row r="40" spans="1:12" x14ac:dyDescent="0.3">
      <c r="A40" t="s">
        <v>42</v>
      </c>
      <c r="B40" t="s">
        <v>18</v>
      </c>
      <c r="C40">
        <v>55000</v>
      </c>
      <c r="D40" t="s">
        <v>12</v>
      </c>
      <c r="E40" t="s">
        <v>13</v>
      </c>
      <c r="F40" t="s">
        <v>40</v>
      </c>
      <c r="G40">
        <v>2019</v>
      </c>
      <c r="H40" s="1">
        <v>43800</v>
      </c>
      <c r="I40" t="s">
        <v>37</v>
      </c>
      <c r="J40" t="s">
        <v>38</v>
      </c>
      <c r="K40">
        <v>4</v>
      </c>
      <c r="L40" t="str">
        <f>IF(AND(C40&gt; Sheet1!B46,K40&lt;3), "Misaligned","Aligned")</f>
        <v>Aligned</v>
      </c>
    </row>
    <row r="41" spans="1:12" x14ac:dyDescent="0.3">
      <c r="A41" t="s">
        <v>17</v>
      </c>
      <c r="B41">
        <v>25</v>
      </c>
      <c r="C41">
        <v>55000</v>
      </c>
      <c r="D41" t="s">
        <v>19</v>
      </c>
      <c r="E41" t="s">
        <v>20</v>
      </c>
      <c r="F41" t="s">
        <v>39</v>
      </c>
      <c r="G41">
        <v>2020</v>
      </c>
      <c r="H41" s="1">
        <v>43881</v>
      </c>
      <c r="I41" t="s">
        <v>22</v>
      </c>
      <c r="J41" t="s">
        <v>30</v>
      </c>
      <c r="K41">
        <v>5</v>
      </c>
      <c r="L41" t="str">
        <f>IF(AND(C41&gt; Sheet1!B47,K41&lt;3), "Misaligned","Aligned")</f>
        <v>Aligned</v>
      </c>
    </row>
    <row r="42" spans="1:12" x14ac:dyDescent="0.3">
      <c r="A42" t="s">
        <v>44</v>
      </c>
      <c r="B42">
        <v>40</v>
      </c>
      <c r="C42">
        <v>70000</v>
      </c>
      <c r="D42" t="s">
        <v>19</v>
      </c>
      <c r="E42" t="s">
        <v>13</v>
      </c>
      <c r="F42" t="s">
        <v>39</v>
      </c>
      <c r="G42">
        <v>2018</v>
      </c>
      <c r="H42" s="1">
        <v>43195</v>
      </c>
      <c r="I42" t="s">
        <v>15</v>
      </c>
      <c r="J42" t="s">
        <v>27</v>
      </c>
      <c r="K42">
        <v>3</v>
      </c>
      <c r="L42" t="str">
        <f>IF(AND(C42&gt; Sheet1!B48,K42&lt;3), "Misaligned","Aligned")</f>
        <v>Aligned</v>
      </c>
    </row>
    <row r="43" spans="1:12" x14ac:dyDescent="0.3">
      <c r="A43" t="s">
        <v>42</v>
      </c>
      <c r="B43">
        <v>30</v>
      </c>
      <c r="C43">
        <v>50000</v>
      </c>
      <c r="D43" t="s">
        <v>19</v>
      </c>
      <c r="E43" t="s">
        <v>20</v>
      </c>
      <c r="F43" t="s">
        <v>21</v>
      </c>
      <c r="G43">
        <v>2019</v>
      </c>
      <c r="H43" s="1">
        <v>43800</v>
      </c>
      <c r="I43" t="s">
        <v>37</v>
      </c>
      <c r="J43" t="s">
        <v>27</v>
      </c>
      <c r="K43">
        <v>3</v>
      </c>
      <c r="L43" t="str">
        <f>IF(AND(C43&gt; Sheet1!B49,K43&lt;3), "Misaligned","Aligned")</f>
        <v>Aligned</v>
      </c>
    </row>
    <row r="44" spans="1:12" x14ac:dyDescent="0.3">
      <c r="A44" t="s">
        <v>31</v>
      </c>
      <c r="B44">
        <v>25</v>
      </c>
      <c r="C44">
        <v>60000</v>
      </c>
      <c r="D44" t="s">
        <v>32</v>
      </c>
      <c r="E44" t="s">
        <v>33</v>
      </c>
      <c r="F44" t="s">
        <v>21</v>
      </c>
      <c r="G44">
        <v>2020</v>
      </c>
      <c r="H44" s="1">
        <v>43881</v>
      </c>
      <c r="I44" t="s">
        <v>22</v>
      </c>
      <c r="J44" t="s">
        <v>38</v>
      </c>
      <c r="K44">
        <v>4</v>
      </c>
      <c r="L44" t="str">
        <f>IF(AND(C44&gt; Sheet1!B50,K44&lt;3), "Misaligned","Aligned")</f>
        <v>Aligned</v>
      </c>
    </row>
    <row r="45" spans="1:12" x14ac:dyDescent="0.3">
      <c r="A45" t="s">
        <v>44</v>
      </c>
      <c r="B45">
        <v>35</v>
      </c>
      <c r="C45">
        <v>70000</v>
      </c>
      <c r="D45" t="s">
        <v>12</v>
      </c>
      <c r="E45" t="s">
        <v>29</v>
      </c>
      <c r="F45" t="s">
        <v>40</v>
      </c>
      <c r="G45">
        <v>2020</v>
      </c>
      <c r="H45" s="1">
        <v>43845</v>
      </c>
      <c r="I45" t="s">
        <v>26</v>
      </c>
      <c r="J45" t="s">
        <v>30</v>
      </c>
      <c r="K45">
        <v>5</v>
      </c>
      <c r="L45" t="str">
        <f>IF(AND(C45&gt; Sheet1!B51,K45&lt;3), "Misaligned","Aligned")</f>
        <v>Aligned</v>
      </c>
    </row>
    <row r="46" spans="1:12" x14ac:dyDescent="0.3">
      <c r="A46" t="s">
        <v>31</v>
      </c>
      <c r="B46" t="s">
        <v>18</v>
      </c>
      <c r="C46">
        <v>60000</v>
      </c>
      <c r="D46" t="s">
        <v>32</v>
      </c>
      <c r="E46" t="s">
        <v>25</v>
      </c>
      <c r="F46" t="s">
        <v>40</v>
      </c>
      <c r="G46">
        <v>2019</v>
      </c>
      <c r="H46" s="1">
        <v>43549</v>
      </c>
      <c r="I46" t="s">
        <v>34</v>
      </c>
      <c r="J46" t="s">
        <v>16</v>
      </c>
      <c r="K46">
        <v>2</v>
      </c>
      <c r="L46" t="str">
        <f>IF(AND(C46&gt; Sheet1!B52,K46&lt;3), "Misaligned","Aligned")</f>
        <v>Misaligned</v>
      </c>
    </row>
    <row r="47" spans="1:12" x14ac:dyDescent="0.3">
      <c r="A47" t="s">
        <v>28</v>
      </c>
      <c r="B47">
        <v>25</v>
      </c>
      <c r="C47">
        <v>50000</v>
      </c>
      <c r="D47" t="s">
        <v>19</v>
      </c>
      <c r="E47" t="s">
        <v>33</v>
      </c>
      <c r="F47" t="s">
        <v>14</v>
      </c>
      <c r="G47">
        <v>2019</v>
      </c>
      <c r="H47" s="1">
        <v>43549</v>
      </c>
      <c r="I47" t="s">
        <v>34</v>
      </c>
      <c r="J47" t="s">
        <v>38</v>
      </c>
      <c r="K47">
        <v>4</v>
      </c>
      <c r="L47" t="str">
        <f>IF(AND(C47&gt; Sheet1!B53,K47&lt;3), "Misaligned","Aligned")</f>
        <v>Aligned</v>
      </c>
    </row>
    <row r="48" spans="1:12" x14ac:dyDescent="0.3">
      <c r="A48" t="s">
        <v>42</v>
      </c>
      <c r="B48">
        <v>30</v>
      </c>
      <c r="C48" t="s">
        <v>18</v>
      </c>
      <c r="D48" t="s">
        <v>32</v>
      </c>
      <c r="E48" t="s">
        <v>13</v>
      </c>
      <c r="F48" t="s">
        <v>39</v>
      </c>
      <c r="G48">
        <v>2019</v>
      </c>
      <c r="H48" s="1">
        <v>43549</v>
      </c>
      <c r="I48" t="s">
        <v>34</v>
      </c>
      <c r="J48" t="s">
        <v>30</v>
      </c>
      <c r="K48">
        <v>5</v>
      </c>
      <c r="L48" t="str">
        <f>IF(AND(C48&gt; Sheet1!B54,K48&lt;3), "Misaligned","Aligned")</f>
        <v>Aligned</v>
      </c>
    </row>
    <row r="49" spans="1:12" x14ac:dyDescent="0.3">
      <c r="A49" t="s">
        <v>17</v>
      </c>
      <c r="B49">
        <v>35</v>
      </c>
      <c r="C49" t="s">
        <v>18</v>
      </c>
      <c r="D49" t="s">
        <v>12</v>
      </c>
      <c r="E49" t="s">
        <v>25</v>
      </c>
      <c r="F49" t="s">
        <v>39</v>
      </c>
      <c r="G49">
        <v>2019</v>
      </c>
      <c r="H49" s="1">
        <v>43800</v>
      </c>
      <c r="I49" t="s">
        <v>37</v>
      </c>
      <c r="J49" t="s">
        <v>23</v>
      </c>
      <c r="K49">
        <v>1</v>
      </c>
      <c r="L49" t="str">
        <f>IF(AND(C49&gt; Sheet1!B55,K49&lt;3), "Misaligned","Aligned")</f>
        <v>Misaligned</v>
      </c>
    </row>
    <row r="50" spans="1:12" x14ac:dyDescent="0.3">
      <c r="A50" t="s">
        <v>11</v>
      </c>
      <c r="B50">
        <v>50</v>
      </c>
      <c r="C50">
        <v>50000</v>
      </c>
      <c r="D50" t="s">
        <v>12</v>
      </c>
      <c r="E50" t="s">
        <v>29</v>
      </c>
      <c r="F50" t="s">
        <v>21</v>
      </c>
      <c r="G50">
        <v>2020</v>
      </c>
      <c r="H50" s="1">
        <v>43881</v>
      </c>
      <c r="I50" t="s">
        <v>22</v>
      </c>
      <c r="J50" t="s">
        <v>27</v>
      </c>
      <c r="K50">
        <v>3</v>
      </c>
      <c r="L50" t="str">
        <f>IF(AND(C50&gt; Sheet1!B56,K50&lt;3), "Misaligned","Aligned")</f>
        <v>Aligned</v>
      </c>
    </row>
    <row r="51" spans="1:12" x14ac:dyDescent="0.3">
      <c r="A51" t="s">
        <v>24</v>
      </c>
      <c r="B51">
        <v>30</v>
      </c>
      <c r="C51">
        <v>70000</v>
      </c>
      <c r="D51" t="s">
        <v>19</v>
      </c>
      <c r="E51" t="s">
        <v>33</v>
      </c>
      <c r="F51" t="s">
        <v>14</v>
      </c>
      <c r="G51">
        <v>2019</v>
      </c>
      <c r="H51" s="1">
        <v>43800</v>
      </c>
      <c r="I51" t="s">
        <v>37</v>
      </c>
      <c r="J51" t="s">
        <v>16</v>
      </c>
      <c r="K51">
        <v>2</v>
      </c>
      <c r="L51" t="str">
        <f>IF(AND(C51&gt; Sheet1!B57,K51&lt;3), "Misaligned","Aligned")</f>
        <v>Misaligned</v>
      </c>
    </row>
    <row r="52" spans="1:12" x14ac:dyDescent="0.3">
      <c r="A52" t="s">
        <v>35</v>
      </c>
      <c r="B52">
        <v>30</v>
      </c>
      <c r="C52">
        <v>50000</v>
      </c>
      <c r="D52" t="s">
        <v>19</v>
      </c>
      <c r="E52" t="s">
        <v>25</v>
      </c>
      <c r="F52" t="s">
        <v>39</v>
      </c>
      <c r="G52">
        <v>2018</v>
      </c>
      <c r="H52" s="1">
        <v>43195</v>
      </c>
      <c r="I52" t="s">
        <v>15</v>
      </c>
      <c r="J52" t="s">
        <v>16</v>
      </c>
      <c r="K52">
        <v>2</v>
      </c>
      <c r="L52" t="str">
        <f>IF(AND(C52&gt; Sheet1!B58,K52&lt;3), "Misaligned","Aligned")</f>
        <v>Misaligned</v>
      </c>
    </row>
    <row r="53" spans="1:12" x14ac:dyDescent="0.3">
      <c r="A53" t="s">
        <v>43</v>
      </c>
      <c r="B53">
        <v>35</v>
      </c>
      <c r="C53">
        <v>65000</v>
      </c>
      <c r="D53" t="s">
        <v>32</v>
      </c>
      <c r="E53" t="s">
        <v>33</v>
      </c>
      <c r="F53" t="s">
        <v>14</v>
      </c>
      <c r="G53">
        <v>2020</v>
      </c>
      <c r="H53" s="1">
        <v>43845</v>
      </c>
      <c r="I53" t="s">
        <v>26</v>
      </c>
      <c r="J53" t="s">
        <v>16</v>
      </c>
      <c r="K53">
        <v>2</v>
      </c>
      <c r="L53" t="str">
        <f>IF(AND(C53&gt; Sheet1!B59,K53&lt;3), "Misaligned","Aligned")</f>
        <v>Misaligned</v>
      </c>
    </row>
    <row r="54" spans="1:12" x14ac:dyDescent="0.3">
      <c r="A54" t="s">
        <v>17</v>
      </c>
      <c r="B54">
        <v>30</v>
      </c>
      <c r="C54">
        <v>55000</v>
      </c>
      <c r="D54" t="s">
        <v>19</v>
      </c>
      <c r="E54" t="s">
        <v>33</v>
      </c>
      <c r="F54" t="s">
        <v>14</v>
      </c>
      <c r="G54">
        <v>2020</v>
      </c>
      <c r="H54" s="1">
        <v>43845</v>
      </c>
      <c r="I54" t="s">
        <v>26</v>
      </c>
      <c r="J54" t="s">
        <v>27</v>
      </c>
      <c r="K54">
        <v>3</v>
      </c>
      <c r="L54" t="str">
        <f>IF(AND(C54&gt; Sheet1!B60,K54&lt;3), "Misaligned","Aligned")</f>
        <v>Aligned</v>
      </c>
    </row>
    <row r="55" spans="1:12" x14ac:dyDescent="0.3">
      <c r="A55" t="s">
        <v>42</v>
      </c>
      <c r="B55">
        <v>35</v>
      </c>
      <c r="C55">
        <v>70000</v>
      </c>
      <c r="D55" t="s">
        <v>19</v>
      </c>
      <c r="E55" t="s">
        <v>29</v>
      </c>
      <c r="F55" t="s">
        <v>21</v>
      </c>
      <c r="G55">
        <v>2019</v>
      </c>
      <c r="H55" s="1">
        <v>43549</v>
      </c>
      <c r="I55" t="s">
        <v>34</v>
      </c>
      <c r="J55" t="s">
        <v>30</v>
      </c>
      <c r="K55">
        <v>5</v>
      </c>
      <c r="L55" t="str">
        <f>IF(AND(C55&gt; Sheet1!B61,K55&lt;3), "Misaligned","Aligned")</f>
        <v>Aligned</v>
      </c>
    </row>
    <row r="56" spans="1:12" x14ac:dyDescent="0.3">
      <c r="A56" t="s">
        <v>24</v>
      </c>
      <c r="B56">
        <v>25</v>
      </c>
      <c r="C56">
        <v>60000</v>
      </c>
      <c r="D56" t="s">
        <v>12</v>
      </c>
      <c r="E56" t="s">
        <v>20</v>
      </c>
      <c r="F56" t="s">
        <v>14</v>
      </c>
      <c r="G56">
        <v>2019</v>
      </c>
      <c r="H56" s="1">
        <v>43549</v>
      </c>
      <c r="I56" t="s">
        <v>34</v>
      </c>
      <c r="J56" t="s">
        <v>38</v>
      </c>
      <c r="K56">
        <v>4</v>
      </c>
      <c r="L56" t="str">
        <f>IF(AND(C56&gt; Sheet1!B62,K56&lt;3), "Misaligned","Aligned")</f>
        <v>Aligned</v>
      </c>
    </row>
    <row r="57" spans="1:12" x14ac:dyDescent="0.3">
      <c r="A57" t="s">
        <v>17</v>
      </c>
      <c r="B57">
        <v>35</v>
      </c>
      <c r="C57">
        <v>65000</v>
      </c>
      <c r="D57" t="s">
        <v>19</v>
      </c>
      <c r="E57" t="s">
        <v>25</v>
      </c>
      <c r="F57" t="s">
        <v>40</v>
      </c>
      <c r="G57">
        <v>2019</v>
      </c>
      <c r="H57" s="1">
        <v>43549</v>
      </c>
      <c r="I57" t="s">
        <v>34</v>
      </c>
      <c r="J57" t="s">
        <v>30</v>
      </c>
      <c r="K57">
        <v>5</v>
      </c>
      <c r="L57" t="str">
        <f>IF(AND(C57&gt; Sheet1!B63,K57&lt;3), "Misaligned","Aligned")</f>
        <v>Aligned</v>
      </c>
    </row>
    <row r="58" spans="1:12" x14ac:dyDescent="0.3">
      <c r="A58" t="s">
        <v>42</v>
      </c>
      <c r="B58">
        <v>35</v>
      </c>
      <c r="C58">
        <v>70000</v>
      </c>
      <c r="D58" t="s">
        <v>19</v>
      </c>
      <c r="E58" t="s">
        <v>29</v>
      </c>
      <c r="F58" t="s">
        <v>40</v>
      </c>
      <c r="G58">
        <v>2020</v>
      </c>
      <c r="H58" s="1">
        <v>43881</v>
      </c>
      <c r="I58" t="s">
        <v>22</v>
      </c>
      <c r="J58" t="s">
        <v>38</v>
      </c>
      <c r="K58">
        <v>4</v>
      </c>
      <c r="L58" t="str">
        <f>IF(AND(C58&gt; Sheet1!B64,K58&lt;3), "Misaligned","Aligned")</f>
        <v>Aligned</v>
      </c>
    </row>
    <row r="59" spans="1:12" x14ac:dyDescent="0.3">
      <c r="A59" t="s">
        <v>41</v>
      </c>
      <c r="B59" t="s">
        <v>18</v>
      </c>
      <c r="C59">
        <v>50000</v>
      </c>
      <c r="D59" t="s">
        <v>12</v>
      </c>
      <c r="E59" t="s">
        <v>33</v>
      </c>
      <c r="F59" t="s">
        <v>36</v>
      </c>
      <c r="G59">
        <v>2018</v>
      </c>
      <c r="H59" s="1">
        <v>43195</v>
      </c>
      <c r="I59" t="s">
        <v>15</v>
      </c>
      <c r="J59" t="s">
        <v>16</v>
      </c>
      <c r="K59">
        <v>2</v>
      </c>
      <c r="L59" t="str">
        <f>IF(AND(C59&gt; Sheet1!B65,K59&lt;3), "Misaligned","Aligned")</f>
        <v>Misaligned</v>
      </c>
    </row>
    <row r="60" spans="1:12" x14ac:dyDescent="0.3">
      <c r="A60" t="s">
        <v>41</v>
      </c>
      <c r="B60">
        <v>35</v>
      </c>
      <c r="C60">
        <v>50000</v>
      </c>
      <c r="D60" t="s">
        <v>12</v>
      </c>
      <c r="E60" t="s">
        <v>29</v>
      </c>
      <c r="F60" t="s">
        <v>21</v>
      </c>
      <c r="G60">
        <v>2018</v>
      </c>
      <c r="H60" s="1">
        <v>43195</v>
      </c>
      <c r="I60" t="s">
        <v>15</v>
      </c>
      <c r="J60" t="s">
        <v>30</v>
      </c>
      <c r="K60">
        <v>5</v>
      </c>
      <c r="L60" t="str">
        <f>IF(AND(C60&gt; Sheet1!B66,K60&lt;3), "Misaligned","Aligned")</f>
        <v>Aligned</v>
      </c>
    </row>
    <row r="61" spans="1:12" x14ac:dyDescent="0.3">
      <c r="A61" t="s">
        <v>31</v>
      </c>
      <c r="B61">
        <v>35</v>
      </c>
      <c r="C61">
        <v>50000</v>
      </c>
      <c r="D61" t="s">
        <v>32</v>
      </c>
      <c r="E61" t="s">
        <v>20</v>
      </c>
      <c r="F61" t="s">
        <v>36</v>
      </c>
      <c r="G61">
        <v>2018</v>
      </c>
      <c r="H61" s="1">
        <v>43195</v>
      </c>
      <c r="I61" t="s">
        <v>15</v>
      </c>
      <c r="J61" t="s">
        <v>16</v>
      </c>
      <c r="K61">
        <v>2</v>
      </c>
      <c r="L61" t="str">
        <f>IF(AND(C61&gt; Sheet1!B67,K61&lt;3), "Misaligned","Aligned")</f>
        <v>Misaligned</v>
      </c>
    </row>
    <row r="62" spans="1:12" x14ac:dyDescent="0.3">
      <c r="A62" t="s">
        <v>17</v>
      </c>
      <c r="B62">
        <v>50</v>
      </c>
      <c r="C62">
        <v>50000</v>
      </c>
      <c r="D62" t="s">
        <v>19</v>
      </c>
      <c r="E62" t="s">
        <v>25</v>
      </c>
      <c r="F62" t="s">
        <v>40</v>
      </c>
      <c r="G62">
        <v>2018</v>
      </c>
      <c r="H62" s="1">
        <v>43195</v>
      </c>
      <c r="I62" t="s">
        <v>15</v>
      </c>
      <c r="J62" t="s">
        <v>23</v>
      </c>
      <c r="K62">
        <v>1</v>
      </c>
      <c r="L62" t="str">
        <f>IF(AND(C62&gt; Sheet1!B68,K62&lt;3), "Misaligned","Aligned")</f>
        <v>Misaligned</v>
      </c>
    </row>
    <row r="63" spans="1:12" x14ac:dyDescent="0.3">
      <c r="A63" t="s">
        <v>41</v>
      </c>
      <c r="B63">
        <v>25</v>
      </c>
      <c r="C63">
        <v>60000</v>
      </c>
      <c r="D63" t="s">
        <v>12</v>
      </c>
      <c r="E63" t="s">
        <v>20</v>
      </c>
      <c r="F63" t="s">
        <v>36</v>
      </c>
      <c r="G63">
        <v>2019</v>
      </c>
      <c r="H63" s="1">
        <v>43549</v>
      </c>
      <c r="I63" t="s">
        <v>34</v>
      </c>
      <c r="J63" t="s">
        <v>16</v>
      </c>
      <c r="K63">
        <v>2</v>
      </c>
      <c r="L63" t="str">
        <f>IF(AND(C63&gt; Sheet1!B69,K63&lt;3), "Misaligned","Aligned")</f>
        <v>Misaligned</v>
      </c>
    </row>
    <row r="64" spans="1:12" x14ac:dyDescent="0.3">
      <c r="A64" t="s">
        <v>42</v>
      </c>
      <c r="B64" t="s">
        <v>18</v>
      </c>
      <c r="C64">
        <v>65000</v>
      </c>
      <c r="D64" t="s">
        <v>32</v>
      </c>
      <c r="E64" t="s">
        <v>13</v>
      </c>
      <c r="F64" t="s">
        <v>21</v>
      </c>
      <c r="G64">
        <v>2020</v>
      </c>
      <c r="H64" s="1">
        <v>43845</v>
      </c>
      <c r="I64" t="s">
        <v>26</v>
      </c>
      <c r="J64" t="s">
        <v>16</v>
      </c>
      <c r="K64">
        <v>2</v>
      </c>
      <c r="L64" t="str">
        <f>IF(AND(C64&gt; Sheet1!B70,K64&lt;3), "Misaligned","Aligned")</f>
        <v>Misaligned</v>
      </c>
    </row>
    <row r="65" spans="1:12" x14ac:dyDescent="0.3">
      <c r="A65" t="s">
        <v>31</v>
      </c>
      <c r="B65">
        <v>50</v>
      </c>
      <c r="C65" t="s">
        <v>18</v>
      </c>
      <c r="D65" t="s">
        <v>32</v>
      </c>
      <c r="E65" t="s">
        <v>25</v>
      </c>
      <c r="F65" t="s">
        <v>21</v>
      </c>
      <c r="G65">
        <v>2019</v>
      </c>
      <c r="H65" s="1">
        <v>43549</v>
      </c>
      <c r="I65" t="s">
        <v>34</v>
      </c>
      <c r="J65" t="s">
        <v>38</v>
      </c>
      <c r="K65">
        <v>4</v>
      </c>
      <c r="L65" t="str">
        <f>IF(AND(C65&gt; Sheet1!B71,K65&lt;3), "Misaligned","Aligned")</f>
        <v>Aligned</v>
      </c>
    </row>
    <row r="66" spans="1:12" x14ac:dyDescent="0.3">
      <c r="A66" t="s">
        <v>42</v>
      </c>
      <c r="B66">
        <v>40</v>
      </c>
      <c r="C66">
        <v>55000</v>
      </c>
      <c r="D66" t="s">
        <v>19</v>
      </c>
      <c r="E66" t="s">
        <v>20</v>
      </c>
      <c r="F66" t="s">
        <v>14</v>
      </c>
      <c r="G66">
        <v>2018</v>
      </c>
      <c r="H66" s="1">
        <v>43195</v>
      </c>
      <c r="I66" t="s">
        <v>15</v>
      </c>
      <c r="J66" t="s">
        <v>23</v>
      </c>
      <c r="K66">
        <v>1</v>
      </c>
      <c r="L66" t="str">
        <f>IF(AND(C66&gt; Sheet1!B72,K66&lt;3), "Misaligned","Aligned")</f>
        <v>Misaligned</v>
      </c>
    </row>
    <row r="67" spans="1:12" x14ac:dyDescent="0.3">
      <c r="A67" t="s">
        <v>31</v>
      </c>
      <c r="B67">
        <v>25</v>
      </c>
      <c r="C67">
        <v>60000</v>
      </c>
      <c r="D67" t="s">
        <v>19</v>
      </c>
      <c r="E67" t="s">
        <v>33</v>
      </c>
      <c r="F67" t="s">
        <v>39</v>
      </c>
      <c r="G67">
        <v>2019</v>
      </c>
      <c r="H67" s="1">
        <v>43549</v>
      </c>
      <c r="I67" t="s">
        <v>34</v>
      </c>
      <c r="J67" t="s">
        <v>16</v>
      </c>
      <c r="K67">
        <v>2</v>
      </c>
      <c r="L67" t="str">
        <f>IF(AND(C67&gt; Sheet1!B73,K67&lt;3), "Misaligned","Aligned")</f>
        <v>Misaligned</v>
      </c>
    </row>
    <row r="68" spans="1:12" x14ac:dyDescent="0.3">
      <c r="A68" t="s">
        <v>17</v>
      </c>
      <c r="B68">
        <v>25</v>
      </c>
      <c r="C68">
        <v>60000</v>
      </c>
      <c r="D68" t="s">
        <v>32</v>
      </c>
      <c r="E68" t="s">
        <v>25</v>
      </c>
      <c r="F68" t="s">
        <v>14</v>
      </c>
      <c r="G68">
        <v>2018</v>
      </c>
      <c r="H68" s="1">
        <v>43195</v>
      </c>
      <c r="I68" t="s">
        <v>15</v>
      </c>
      <c r="J68" t="s">
        <v>16</v>
      </c>
      <c r="K68">
        <v>2</v>
      </c>
      <c r="L68" t="str">
        <f>IF(AND(C68&gt; Sheet1!B74,K68&lt;3), "Misaligned","Aligned")</f>
        <v>Misaligned</v>
      </c>
    </row>
    <row r="69" spans="1:12" x14ac:dyDescent="0.3">
      <c r="A69" t="s">
        <v>24</v>
      </c>
      <c r="B69">
        <v>40</v>
      </c>
      <c r="C69" t="s">
        <v>18</v>
      </c>
      <c r="D69" t="s">
        <v>12</v>
      </c>
      <c r="E69" t="s">
        <v>25</v>
      </c>
      <c r="F69" t="s">
        <v>21</v>
      </c>
      <c r="G69">
        <v>2019</v>
      </c>
      <c r="H69" s="1">
        <v>43800</v>
      </c>
      <c r="I69" t="s">
        <v>37</v>
      </c>
      <c r="J69" t="s">
        <v>23</v>
      </c>
      <c r="K69">
        <v>1</v>
      </c>
      <c r="L69" t="str">
        <f>IF(AND(C69&gt; Sheet1!B75,K69&lt;3), "Misaligned","Aligned")</f>
        <v>Misaligned</v>
      </c>
    </row>
    <row r="70" spans="1:12" x14ac:dyDescent="0.3">
      <c r="A70" t="s">
        <v>11</v>
      </c>
      <c r="B70">
        <v>35</v>
      </c>
      <c r="C70" t="s">
        <v>18</v>
      </c>
      <c r="D70" t="s">
        <v>32</v>
      </c>
      <c r="E70" t="s">
        <v>29</v>
      </c>
      <c r="F70" t="s">
        <v>40</v>
      </c>
      <c r="G70">
        <v>2020</v>
      </c>
      <c r="H70" s="1">
        <v>43845</v>
      </c>
      <c r="I70" t="s">
        <v>26</v>
      </c>
      <c r="J70" t="s">
        <v>23</v>
      </c>
      <c r="K70">
        <v>1</v>
      </c>
      <c r="L70" t="str">
        <f>IF(AND(C70&gt; Sheet1!B76,K70&lt;3), "Misaligned","Aligned")</f>
        <v>Misaligned</v>
      </c>
    </row>
    <row r="71" spans="1:12" x14ac:dyDescent="0.3">
      <c r="A71" t="s">
        <v>44</v>
      </c>
      <c r="B71">
        <v>50</v>
      </c>
      <c r="C71">
        <v>55000</v>
      </c>
      <c r="D71" t="s">
        <v>19</v>
      </c>
      <c r="E71" t="s">
        <v>33</v>
      </c>
      <c r="F71" t="s">
        <v>40</v>
      </c>
      <c r="G71">
        <v>2019</v>
      </c>
      <c r="H71" s="1">
        <v>43800</v>
      </c>
      <c r="I71" t="s">
        <v>37</v>
      </c>
      <c r="J71" t="s">
        <v>30</v>
      </c>
      <c r="K71">
        <v>5</v>
      </c>
      <c r="L71" t="str">
        <f>IF(AND(C71&gt; Sheet1!B77,K71&lt;3), "Misaligned","Aligned")</f>
        <v>Aligned</v>
      </c>
    </row>
    <row r="72" spans="1:12" x14ac:dyDescent="0.3">
      <c r="A72" t="s">
        <v>24</v>
      </c>
      <c r="B72">
        <v>30</v>
      </c>
      <c r="C72">
        <v>55000</v>
      </c>
      <c r="D72" t="s">
        <v>12</v>
      </c>
      <c r="E72" t="s">
        <v>13</v>
      </c>
      <c r="F72" t="s">
        <v>14</v>
      </c>
      <c r="G72">
        <v>2020</v>
      </c>
      <c r="H72" s="1">
        <v>43881</v>
      </c>
      <c r="I72" t="s">
        <v>22</v>
      </c>
      <c r="J72" t="s">
        <v>38</v>
      </c>
      <c r="K72">
        <v>4</v>
      </c>
      <c r="L72" t="str">
        <f>IF(AND(C72&gt; Sheet1!B78,K72&lt;3), "Misaligned","Aligned")</f>
        <v>Aligned</v>
      </c>
    </row>
    <row r="73" spans="1:12" x14ac:dyDescent="0.3">
      <c r="A73" t="s">
        <v>28</v>
      </c>
      <c r="B73" t="s">
        <v>18</v>
      </c>
      <c r="C73" t="s">
        <v>18</v>
      </c>
      <c r="D73" t="s">
        <v>12</v>
      </c>
      <c r="E73" t="s">
        <v>20</v>
      </c>
      <c r="F73" t="s">
        <v>21</v>
      </c>
      <c r="G73">
        <v>2019</v>
      </c>
      <c r="H73" s="1">
        <v>43549</v>
      </c>
      <c r="I73" t="s">
        <v>34</v>
      </c>
      <c r="J73" t="s">
        <v>23</v>
      </c>
      <c r="K73">
        <v>1</v>
      </c>
      <c r="L73" t="str">
        <f>IF(AND(C73&gt; Sheet1!B79,K73&lt;3), "Misaligned","Aligned")</f>
        <v>Misaligned</v>
      </c>
    </row>
    <row r="74" spans="1:12" x14ac:dyDescent="0.3">
      <c r="A74" t="s">
        <v>42</v>
      </c>
      <c r="B74">
        <v>30</v>
      </c>
      <c r="C74">
        <v>50000</v>
      </c>
      <c r="D74" t="s">
        <v>32</v>
      </c>
      <c r="E74" t="s">
        <v>29</v>
      </c>
      <c r="F74" t="s">
        <v>40</v>
      </c>
      <c r="G74">
        <v>2020</v>
      </c>
      <c r="H74" s="1">
        <v>43881</v>
      </c>
      <c r="I74" t="s">
        <v>22</v>
      </c>
      <c r="J74" t="s">
        <v>23</v>
      </c>
      <c r="K74">
        <v>1</v>
      </c>
      <c r="L74" t="str">
        <f>IF(AND(C74&gt; Sheet1!B80,K74&lt;3), "Misaligned","Aligned")</f>
        <v>Misaligned</v>
      </c>
    </row>
    <row r="75" spans="1:12" x14ac:dyDescent="0.3">
      <c r="A75" t="s">
        <v>28</v>
      </c>
      <c r="B75">
        <v>40</v>
      </c>
      <c r="C75">
        <v>60000</v>
      </c>
      <c r="D75" t="s">
        <v>19</v>
      </c>
      <c r="E75" t="s">
        <v>20</v>
      </c>
      <c r="F75" t="s">
        <v>21</v>
      </c>
      <c r="G75">
        <v>2019</v>
      </c>
      <c r="H75" s="1">
        <v>43549</v>
      </c>
      <c r="I75" t="s">
        <v>34</v>
      </c>
      <c r="J75" t="s">
        <v>27</v>
      </c>
      <c r="K75">
        <v>3</v>
      </c>
      <c r="L75" t="str">
        <f>IF(AND(C75&gt; Sheet1!B81,K75&lt;3), "Misaligned","Aligned")</f>
        <v>Aligned</v>
      </c>
    </row>
    <row r="76" spans="1:12" x14ac:dyDescent="0.3">
      <c r="A76" t="s">
        <v>24</v>
      </c>
      <c r="B76">
        <v>25</v>
      </c>
      <c r="C76">
        <v>70000</v>
      </c>
      <c r="D76" t="s">
        <v>32</v>
      </c>
      <c r="E76" t="s">
        <v>13</v>
      </c>
      <c r="F76" t="s">
        <v>40</v>
      </c>
      <c r="G76">
        <v>2019</v>
      </c>
      <c r="H76" s="1">
        <v>43800</v>
      </c>
      <c r="I76" t="s">
        <v>37</v>
      </c>
      <c r="J76" t="s">
        <v>23</v>
      </c>
      <c r="K76">
        <v>1</v>
      </c>
      <c r="L76" t="str">
        <f>IF(AND(C76&gt; Sheet1!B82,K76&lt;3), "Misaligned","Aligned")</f>
        <v>Misaligned</v>
      </c>
    </row>
    <row r="77" spans="1:12" x14ac:dyDescent="0.3">
      <c r="A77" t="s">
        <v>31</v>
      </c>
      <c r="B77">
        <v>25</v>
      </c>
      <c r="C77">
        <v>55000</v>
      </c>
      <c r="D77" t="s">
        <v>32</v>
      </c>
      <c r="E77" t="s">
        <v>13</v>
      </c>
      <c r="F77" t="s">
        <v>21</v>
      </c>
      <c r="G77">
        <v>2018</v>
      </c>
      <c r="H77" s="1">
        <v>43195</v>
      </c>
      <c r="I77" t="s">
        <v>15</v>
      </c>
      <c r="J77" t="s">
        <v>38</v>
      </c>
      <c r="K77">
        <v>4</v>
      </c>
      <c r="L77" t="str">
        <f>IF(AND(C77&gt; Sheet1!B83,K77&lt;3), "Misaligned","Aligned")</f>
        <v>Aligned</v>
      </c>
    </row>
    <row r="78" spans="1:12" x14ac:dyDescent="0.3">
      <c r="A78" t="s">
        <v>44</v>
      </c>
      <c r="B78" t="s">
        <v>18</v>
      </c>
      <c r="C78">
        <v>55000</v>
      </c>
      <c r="D78" t="s">
        <v>32</v>
      </c>
      <c r="E78" t="s">
        <v>25</v>
      </c>
      <c r="F78" t="s">
        <v>36</v>
      </c>
      <c r="G78">
        <v>2018</v>
      </c>
      <c r="H78" s="1">
        <v>43195</v>
      </c>
      <c r="I78" t="s">
        <v>15</v>
      </c>
      <c r="J78" t="s">
        <v>16</v>
      </c>
      <c r="K78">
        <v>2</v>
      </c>
      <c r="L78" t="str">
        <f>IF(AND(C78&gt; Sheet1!B84,K78&lt;3), "Misaligned","Aligned")</f>
        <v>Misaligned</v>
      </c>
    </row>
    <row r="79" spans="1:12" x14ac:dyDescent="0.3">
      <c r="A79" t="s">
        <v>44</v>
      </c>
      <c r="B79">
        <v>25</v>
      </c>
      <c r="C79" t="s">
        <v>18</v>
      </c>
      <c r="D79" t="s">
        <v>12</v>
      </c>
      <c r="E79" t="s">
        <v>13</v>
      </c>
      <c r="F79" t="s">
        <v>21</v>
      </c>
      <c r="G79">
        <v>2019</v>
      </c>
      <c r="H79" s="1">
        <v>43549</v>
      </c>
      <c r="I79" t="s">
        <v>34</v>
      </c>
      <c r="J79" t="s">
        <v>16</v>
      </c>
      <c r="K79">
        <v>2</v>
      </c>
      <c r="L79" t="str">
        <f>IF(AND(C79&gt; Sheet1!B85,K79&lt;3), "Misaligned","Aligned")</f>
        <v>Misaligned</v>
      </c>
    </row>
    <row r="80" spans="1:12" x14ac:dyDescent="0.3">
      <c r="A80" t="s">
        <v>43</v>
      </c>
      <c r="B80">
        <v>25</v>
      </c>
      <c r="C80">
        <v>65000</v>
      </c>
      <c r="D80" t="s">
        <v>12</v>
      </c>
      <c r="E80" t="s">
        <v>20</v>
      </c>
      <c r="F80" t="s">
        <v>21</v>
      </c>
      <c r="G80">
        <v>2018</v>
      </c>
      <c r="H80" s="1">
        <v>43195</v>
      </c>
      <c r="I80" t="s">
        <v>15</v>
      </c>
      <c r="J80" t="s">
        <v>16</v>
      </c>
      <c r="K80">
        <v>2</v>
      </c>
      <c r="L80" t="str">
        <f>IF(AND(C80&gt; Sheet1!B86,K80&lt;3), "Misaligned","Aligned")</f>
        <v>Misaligned</v>
      </c>
    </row>
    <row r="81" spans="1:12" x14ac:dyDescent="0.3">
      <c r="A81" t="s">
        <v>44</v>
      </c>
      <c r="B81" t="s">
        <v>18</v>
      </c>
      <c r="C81">
        <v>70000</v>
      </c>
      <c r="D81" t="s">
        <v>19</v>
      </c>
      <c r="E81" t="s">
        <v>33</v>
      </c>
      <c r="F81" t="s">
        <v>14</v>
      </c>
      <c r="G81">
        <v>2019</v>
      </c>
      <c r="H81" s="1">
        <v>43800</v>
      </c>
      <c r="I81" t="s">
        <v>37</v>
      </c>
      <c r="J81" t="s">
        <v>16</v>
      </c>
      <c r="K81">
        <v>2</v>
      </c>
      <c r="L81" t="str">
        <f>IF(AND(C81&gt; Sheet1!B87,K81&lt;3), "Misaligned","Aligned")</f>
        <v>Misaligned</v>
      </c>
    </row>
    <row r="82" spans="1:12" x14ac:dyDescent="0.3">
      <c r="A82" t="s">
        <v>11</v>
      </c>
      <c r="B82">
        <v>50</v>
      </c>
      <c r="C82">
        <v>70000</v>
      </c>
      <c r="D82" t="s">
        <v>19</v>
      </c>
      <c r="E82" t="s">
        <v>33</v>
      </c>
      <c r="F82" t="s">
        <v>36</v>
      </c>
      <c r="G82">
        <v>2018</v>
      </c>
      <c r="H82" s="1">
        <v>43195</v>
      </c>
      <c r="I82" t="s">
        <v>15</v>
      </c>
      <c r="J82" t="s">
        <v>27</v>
      </c>
      <c r="K82">
        <v>3</v>
      </c>
      <c r="L82" t="str">
        <f>IF(AND(C82&gt; Sheet1!B88,K82&lt;3), "Misaligned","Aligned")</f>
        <v>Aligned</v>
      </c>
    </row>
    <row r="83" spans="1:12" x14ac:dyDescent="0.3">
      <c r="A83" t="s">
        <v>44</v>
      </c>
      <c r="B83">
        <v>50</v>
      </c>
      <c r="C83">
        <v>55000</v>
      </c>
      <c r="D83" t="s">
        <v>32</v>
      </c>
      <c r="E83" t="s">
        <v>25</v>
      </c>
      <c r="F83" t="s">
        <v>39</v>
      </c>
      <c r="G83">
        <v>2019</v>
      </c>
      <c r="H83" s="1">
        <v>43800</v>
      </c>
      <c r="I83" t="s">
        <v>37</v>
      </c>
      <c r="J83" t="s">
        <v>23</v>
      </c>
      <c r="K83">
        <v>1</v>
      </c>
      <c r="L83" t="str">
        <f>IF(AND(C83&gt; Sheet1!B89,K83&lt;3), "Misaligned","Aligned")</f>
        <v>Misaligned</v>
      </c>
    </row>
    <row r="84" spans="1:12" x14ac:dyDescent="0.3">
      <c r="A84" t="s">
        <v>24</v>
      </c>
      <c r="B84" t="s">
        <v>18</v>
      </c>
      <c r="C84">
        <v>50000</v>
      </c>
      <c r="D84" t="s">
        <v>32</v>
      </c>
      <c r="E84" t="s">
        <v>20</v>
      </c>
      <c r="F84" t="s">
        <v>14</v>
      </c>
      <c r="G84">
        <v>2020</v>
      </c>
      <c r="H84" s="1">
        <v>43881</v>
      </c>
      <c r="I84" t="s">
        <v>22</v>
      </c>
      <c r="J84" t="s">
        <v>16</v>
      </c>
      <c r="K84">
        <v>2</v>
      </c>
      <c r="L84" t="str">
        <f>IF(AND(C84&gt; Sheet1!B90,K84&lt;3), "Misaligned","Aligned")</f>
        <v>Misaligned</v>
      </c>
    </row>
    <row r="85" spans="1:12" x14ac:dyDescent="0.3">
      <c r="A85" t="s">
        <v>43</v>
      </c>
      <c r="B85">
        <v>40</v>
      </c>
      <c r="C85">
        <v>65000</v>
      </c>
      <c r="D85" t="s">
        <v>32</v>
      </c>
      <c r="E85" t="s">
        <v>20</v>
      </c>
      <c r="F85" t="s">
        <v>39</v>
      </c>
      <c r="G85">
        <v>2019</v>
      </c>
      <c r="H85" s="1">
        <v>43800</v>
      </c>
      <c r="I85" t="s">
        <v>37</v>
      </c>
      <c r="J85" t="s">
        <v>30</v>
      </c>
      <c r="K85">
        <v>5</v>
      </c>
      <c r="L85" t="str">
        <f>IF(AND(C85&gt; Sheet1!B91,K85&lt;3), "Misaligned","Aligned")</f>
        <v>Aligned</v>
      </c>
    </row>
    <row r="86" spans="1:12" x14ac:dyDescent="0.3">
      <c r="A86" t="s">
        <v>24</v>
      </c>
      <c r="B86">
        <v>25</v>
      </c>
      <c r="C86">
        <v>70000</v>
      </c>
      <c r="D86" t="s">
        <v>19</v>
      </c>
      <c r="E86" t="s">
        <v>13</v>
      </c>
      <c r="F86" t="s">
        <v>40</v>
      </c>
      <c r="G86">
        <v>2020</v>
      </c>
      <c r="H86" s="1">
        <v>43845</v>
      </c>
      <c r="I86" t="s">
        <v>26</v>
      </c>
      <c r="J86" t="s">
        <v>16</v>
      </c>
      <c r="K86">
        <v>2</v>
      </c>
      <c r="L86" t="str">
        <f>IF(AND(C86&gt; Sheet1!B92,K86&lt;3), "Misaligned","Aligned")</f>
        <v>Misaligned</v>
      </c>
    </row>
    <row r="87" spans="1:12" x14ac:dyDescent="0.3">
      <c r="A87" t="s">
        <v>24</v>
      </c>
      <c r="B87">
        <v>25</v>
      </c>
      <c r="C87">
        <v>55000</v>
      </c>
      <c r="D87" t="s">
        <v>12</v>
      </c>
      <c r="E87" t="s">
        <v>20</v>
      </c>
      <c r="F87" t="s">
        <v>39</v>
      </c>
      <c r="G87">
        <v>2020</v>
      </c>
      <c r="H87" s="1">
        <v>43845</v>
      </c>
      <c r="I87" t="s">
        <v>26</v>
      </c>
      <c r="J87" t="s">
        <v>23</v>
      </c>
      <c r="K87">
        <v>1</v>
      </c>
      <c r="L87" t="str">
        <f>IF(AND(C87&gt; Sheet1!B93,K87&lt;3), "Misaligned","Aligned")</f>
        <v>Misaligned</v>
      </c>
    </row>
    <row r="88" spans="1:12" x14ac:dyDescent="0.3">
      <c r="A88" t="s">
        <v>35</v>
      </c>
      <c r="B88">
        <v>40</v>
      </c>
      <c r="C88">
        <v>70000</v>
      </c>
      <c r="D88" t="s">
        <v>12</v>
      </c>
      <c r="E88" t="s">
        <v>29</v>
      </c>
      <c r="F88" t="s">
        <v>21</v>
      </c>
      <c r="G88">
        <v>2020</v>
      </c>
      <c r="H88" s="1">
        <v>43845</v>
      </c>
      <c r="I88" t="s">
        <v>26</v>
      </c>
      <c r="J88" t="s">
        <v>16</v>
      </c>
      <c r="K88">
        <v>2</v>
      </c>
      <c r="L88" t="str">
        <f>IF(AND(C88&gt; Sheet1!B94,K88&lt;3), "Misaligned","Aligned")</f>
        <v>Misaligned</v>
      </c>
    </row>
    <row r="89" spans="1:12" x14ac:dyDescent="0.3">
      <c r="A89" t="s">
        <v>43</v>
      </c>
      <c r="B89">
        <v>50</v>
      </c>
      <c r="C89">
        <v>65000</v>
      </c>
      <c r="D89" t="s">
        <v>32</v>
      </c>
      <c r="E89" t="s">
        <v>13</v>
      </c>
      <c r="F89" t="s">
        <v>39</v>
      </c>
      <c r="G89">
        <v>2019</v>
      </c>
      <c r="H89" s="1">
        <v>43549</v>
      </c>
      <c r="I89" t="s">
        <v>34</v>
      </c>
      <c r="J89" t="s">
        <v>27</v>
      </c>
      <c r="K89">
        <v>3</v>
      </c>
      <c r="L89" t="str">
        <f>IF(AND(C89&gt; Sheet1!B95,K89&lt;3), "Misaligned","Aligned")</f>
        <v>Aligned</v>
      </c>
    </row>
    <row r="90" spans="1:12" x14ac:dyDescent="0.3">
      <c r="A90" t="s">
        <v>24</v>
      </c>
      <c r="B90">
        <v>35</v>
      </c>
      <c r="C90">
        <v>65000</v>
      </c>
      <c r="D90" t="s">
        <v>32</v>
      </c>
      <c r="E90" t="s">
        <v>29</v>
      </c>
      <c r="F90" t="s">
        <v>14</v>
      </c>
      <c r="G90">
        <v>2019</v>
      </c>
      <c r="H90" s="1">
        <v>43549</v>
      </c>
      <c r="I90" t="s">
        <v>34</v>
      </c>
      <c r="J90" t="s">
        <v>38</v>
      </c>
      <c r="K90">
        <v>4</v>
      </c>
      <c r="L90" t="str">
        <f>IF(AND(C90&gt; Sheet1!B96,K90&lt;3), "Misaligned","Aligned")</f>
        <v>Aligned</v>
      </c>
    </row>
    <row r="91" spans="1:12" x14ac:dyDescent="0.3">
      <c r="A91" t="s">
        <v>35</v>
      </c>
      <c r="B91">
        <v>35</v>
      </c>
      <c r="C91">
        <v>60000</v>
      </c>
      <c r="D91" t="s">
        <v>32</v>
      </c>
      <c r="E91" t="s">
        <v>25</v>
      </c>
      <c r="F91" t="s">
        <v>14</v>
      </c>
      <c r="G91">
        <v>2019</v>
      </c>
      <c r="H91" s="1">
        <v>43549</v>
      </c>
      <c r="I91" t="s">
        <v>34</v>
      </c>
      <c r="J91" t="s">
        <v>38</v>
      </c>
      <c r="K91">
        <v>4</v>
      </c>
      <c r="L91" t="str">
        <f>IF(AND(C91&gt; Sheet1!B97,K91&lt;3), "Misaligned","Aligned")</f>
        <v>Aligned</v>
      </c>
    </row>
    <row r="92" spans="1:12" x14ac:dyDescent="0.3">
      <c r="A92" t="s">
        <v>35</v>
      </c>
      <c r="B92">
        <v>35</v>
      </c>
      <c r="C92" t="s">
        <v>18</v>
      </c>
      <c r="D92" t="s">
        <v>32</v>
      </c>
      <c r="E92" t="s">
        <v>33</v>
      </c>
      <c r="F92" t="s">
        <v>39</v>
      </c>
      <c r="G92">
        <v>2019</v>
      </c>
      <c r="H92" s="1">
        <v>43800</v>
      </c>
      <c r="I92" t="s">
        <v>37</v>
      </c>
      <c r="J92" t="s">
        <v>23</v>
      </c>
      <c r="K92">
        <v>1</v>
      </c>
      <c r="L92" t="str">
        <f>IF(AND(C92&gt; Sheet1!B98,K92&lt;3), "Misaligned","Aligned")</f>
        <v>Misaligned</v>
      </c>
    </row>
    <row r="93" spans="1:12" x14ac:dyDescent="0.3">
      <c r="A93" t="s">
        <v>43</v>
      </c>
      <c r="B93">
        <v>50</v>
      </c>
      <c r="C93" t="s">
        <v>18</v>
      </c>
      <c r="D93" t="s">
        <v>19</v>
      </c>
      <c r="E93" t="s">
        <v>25</v>
      </c>
      <c r="F93" t="s">
        <v>14</v>
      </c>
      <c r="G93">
        <v>2019</v>
      </c>
      <c r="H93" s="1">
        <v>43549</v>
      </c>
      <c r="I93" t="s">
        <v>34</v>
      </c>
      <c r="J93" t="s">
        <v>38</v>
      </c>
      <c r="K93">
        <v>4</v>
      </c>
      <c r="L93" t="str">
        <f>IF(AND(C93&gt; Sheet1!B99,K93&lt;3), "Misaligned","Aligned")</f>
        <v>Aligned</v>
      </c>
    </row>
    <row r="94" spans="1:12" x14ac:dyDescent="0.3">
      <c r="A94" t="s">
        <v>28</v>
      </c>
      <c r="B94">
        <v>50</v>
      </c>
      <c r="C94">
        <v>55000</v>
      </c>
      <c r="D94" t="s">
        <v>12</v>
      </c>
      <c r="E94" t="s">
        <v>33</v>
      </c>
      <c r="F94" t="s">
        <v>14</v>
      </c>
      <c r="G94">
        <v>2020</v>
      </c>
      <c r="H94" s="1">
        <v>43881</v>
      </c>
      <c r="I94" t="s">
        <v>22</v>
      </c>
      <c r="J94" t="s">
        <v>38</v>
      </c>
      <c r="K94">
        <v>4</v>
      </c>
      <c r="L94" t="str">
        <f>IF(AND(C94&gt; Sheet1!B100,K94&lt;3), "Misaligned","Aligned")</f>
        <v>Aligned</v>
      </c>
    </row>
    <row r="95" spans="1:12" x14ac:dyDescent="0.3">
      <c r="A95" t="s">
        <v>31</v>
      </c>
      <c r="B95">
        <v>40</v>
      </c>
      <c r="C95">
        <v>65000</v>
      </c>
      <c r="D95" t="s">
        <v>32</v>
      </c>
      <c r="E95" t="s">
        <v>25</v>
      </c>
      <c r="F95" t="s">
        <v>39</v>
      </c>
      <c r="G95">
        <v>2020</v>
      </c>
      <c r="H95" s="1">
        <v>43845</v>
      </c>
      <c r="I95" t="s">
        <v>26</v>
      </c>
      <c r="J95" t="s">
        <v>30</v>
      </c>
      <c r="K95">
        <v>5</v>
      </c>
      <c r="L95" t="str">
        <f>IF(AND(C95&gt; Sheet1!B101,K95&lt;3), "Misaligned","Aligned")</f>
        <v>Aligned</v>
      </c>
    </row>
    <row r="96" spans="1:12" x14ac:dyDescent="0.3">
      <c r="A96" t="s">
        <v>11</v>
      </c>
      <c r="B96">
        <v>25</v>
      </c>
      <c r="C96">
        <v>60000</v>
      </c>
      <c r="D96" t="s">
        <v>19</v>
      </c>
      <c r="E96" t="s">
        <v>20</v>
      </c>
      <c r="F96" t="s">
        <v>36</v>
      </c>
      <c r="G96">
        <v>2019</v>
      </c>
      <c r="H96" s="1">
        <v>43800</v>
      </c>
      <c r="I96" t="s">
        <v>37</v>
      </c>
      <c r="J96" t="s">
        <v>23</v>
      </c>
      <c r="K96">
        <v>1</v>
      </c>
      <c r="L96" t="str">
        <f>IF(AND(C96&gt; Sheet1!B102,K96&lt;3), "Misaligned","Aligned")</f>
        <v>Misaligned</v>
      </c>
    </row>
    <row r="97" spans="1:12" x14ac:dyDescent="0.3">
      <c r="A97" t="s">
        <v>31</v>
      </c>
      <c r="B97">
        <v>40</v>
      </c>
      <c r="C97">
        <v>60000</v>
      </c>
      <c r="D97" t="s">
        <v>32</v>
      </c>
      <c r="E97" t="s">
        <v>29</v>
      </c>
      <c r="F97" t="s">
        <v>36</v>
      </c>
      <c r="G97">
        <v>2020</v>
      </c>
      <c r="H97" s="1">
        <v>43845</v>
      </c>
      <c r="I97" t="s">
        <v>26</v>
      </c>
      <c r="J97" t="s">
        <v>23</v>
      </c>
      <c r="K97">
        <v>1</v>
      </c>
      <c r="L97" t="str">
        <f>IF(AND(C97&gt; Sheet1!B103,K97&lt;3), "Misaligned","Aligned")</f>
        <v>Misaligned</v>
      </c>
    </row>
    <row r="98" spans="1:12" x14ac:dyDescent="0.3">
      <c r="A98" t="s">
        <v>44</v>
      </c>
      <c r="B98">
        <v>40</v>
      </c>
      <c r="C98">
        <v>70000</v>
      </c>
      <c r="D98" t="s">
        <v>32</v>
      </c>
      <c r="E98" t="s">
        <v>33</v>
      </c>
      <c r="F98" t="s">
        <v>40</v>
      </c>
      <c r="G98">
        <v>2019</v>
      </c>
      <c r="H98" s="1">
        <v>43549</v>
      </c>
      <c r="I98" t="s">
        <v>34</v>
      </c>
      <c r="J98" t="s">
        <v>38</v>
      </c>
      <c r="K98">
        <v>4</v>
      </c>
      <c r="L98" t="str">
        <f>IF(AND(C98&gt; Sheet1!B104,K98&lt;3), "Misaligned","Aligned")</f>
        <v>Aligned</v>
      </c>
    </row>
    <row r="99" spans="1:12" x14ac:dyDescent="0.3">
      <c r="A99" t="s">
        <v>11</v>
      </c>
      <c r="B99">
        <v>50</v>
      </c>
      <c r="C99">
        <v>70000</v>
      </c>
      <c r="D99" t="s">
        <v>12</v>
      </c>
      <c r="E99" t="s">
        <v>13</v>
      </c>
      <c r="F99" t="s">
        <v>14</v>
      </c>
      <c r="G99">
        <v>2019</v>
      </c>
      <c r="H99" s="1">
        <v>43800</v>
      </c>
      <c r="I99" t="s">
        <v>37</v>
      </c>
      <c r="J99" t="s">
        <v>38</v>
      </c>
      <c r="K99">
        <v>4</v>
      </c>
      <c r="L99" t="str">
        <f>IF(AND(C99&gt; Sheet1!B105,K99&lt;3), "Misaligned","Aligned")</f>
        <v>Aligned</v>
      </c>
    </row>
    <row r="100" spans="1:12" x14ac:dyDescent="0.3">
      <c r="A100" t="s">
        <v>44</v>
      </c>
      <c r="B100">
        <v>35</v>
      </c>
      <c r="C100">
        <v>60000</v>
      </c>
      <c r="D100" t="s">
        <v>32</v>
      </c>
      <c r="E100" t="s">
        <v>29</v>
      </c>
      <c r="F100" t="s">
        <v>39</v>
      </c>
      <c r="G100">
        <v>2018</v>
      </c>
      <c r="H100" s="1">
        <v>43195</v>
      </c>
      <c r="I100" t="s">
        <v>15</v>
      </c>
      <c r="J100" t="s">
        <v>38</v>
      </c>
      <c r="K100">
        <v>4</v>
      </c>
      <c r="L100" t="str">
        <f>IF(AND(C100&gt; Sheet1!B106,K100&lt;3), "Misaligned","Aligned")</f>
        <v>Aligned</v>
      </c>
    </row>
    <row r="101" spans="1:12" x14ac:dyDescent="0.3">
      <c r="A101" t="s">
        <v>24</v>
      </c>
      <c r="B101">
        <v>30</v>
      </c>
      <c r="C101">
        <v>70000</v>
      </c>
      <c r="D101" t="s">
        <v>12</v>
      </c>
      <c r="E101" t="s">
        <v>13</v>
      </c>
      <c r="F101" t="s">
        <v>14</v>
      </c>
      <c r="G101">
        <v>2020</v>
      </c>
      <c r="H101" s="1">
        <v>43881</v>
      </c>
      <c r="I101" t="s">
        <v>22</v>
      </c>
      <c r="J101" t="s">
        <v>27</v>
      </c>
      <c r="K101">
        <v>3</v>
      </c>
      <c r="L101" t="str">
        <f>IF(AND(C101&gt; Sheet1!B107,K101&lt;3), "Misaligned","Aligned")</f>
        <v>Aligned</v>
      </c>
    </row>
    <row r="102" spans="1:12" x14ac:dyDescent="0.3">
      <c r="A102" t="s">
        <v>42</v>
      </c>
      <c r="B102">
        <v>25</v>
      </c>
      <c r="C102">
        <v>65000</v>
      </c>
      <c r="D102" t="s">
        <v>12</v>
      </c>
      <c r="E102" t="s">
        <v>29</v>
      </c>
      <c r="F102" t="s">
        <v>21</v>
      </c>
      <c r="G102">
        <v>2019</v>
      </c>
      <c r="H102" s="1">
        <v>43549</v>
      </c>
      <c r="I102" t="s">
        <v>34</v>
      </c>
      <c r="J102" t="s">
        <v>16</v>
      </c>
      <c r="K102">
        <v>2</v>
      </c>
      <c r="L102" t="str">
        <f>IF(AND(C102&gt; Sheet1!B108,K102&lt;3), "Misaligned","Aligned")</f>
        <v>Misaligned</v>
      </c>
    </row>
    <row r="103" spans="1:12" x14ac:dyDescent="0.3">
      <c r="A103" t="s">
        <v>43</v>
      </c>
      <c r="B103">
        <v>50</v>
      </c>
      <c r="C103">
        <v>50000</v>
      </c>
      <c r="D103" t="s">
        <v>12</v>
      </c>
      <c r="E103" t="s">
        <v>29</v>
      </c>
      <c r="F103" t="s">
        <v>14</v>
      </c>
      <c r="G103">
        <v>2019</v>
      </c>
      <c r="H103" s="1">
        <v>43549</v>
      </c>
      <c r="I103" t="s">
        <v>34</v>
      </c>
      <c r="J103" t="s">
        <v>27</v>
      </c>
      <c r="K103">
        <v>3</v>
      </c>
      <c r="L103" t="str">
        <f>IF(AND(C103&gt; Sheet1!B109,K103&lt;3), "Misaligned","Aligned")</f>
        <v>Aligned</v>
      </c>
    </row>
    <row r="104" spans="1:12" x14ac:dyDescent="0.3">
      <c r="A104" t="s">
        <v>11</v>
      </c>
      <c r="B104">
        <v>35</v>
      </c>
      <c r="C104">
        <v>65000</v>
      </c>
      <c r="D104" t="s">
        <v>19</v>
      </c>
      <c r="E104" t="s">
        <v>25</v>
      </c>
      <c r="F104" t="s">
        <v>14</v>
      </c>
      <c r="G104">
        <v>2020</v>
      </c>
      <c r="H104" s="1">
        <v>43881</v>
      </c>
      <c r="I104" t="s">
        <v>22</v>
      </c>
      <c r="J104" t="s">
        <v>23</v>
      </c>
      <c r="K104">
        <v>1</v>
      </c>
      <c r="L104" t="str">
        <f>IF(AND(C104&gt; Sheet1!B110,K104&lt;3), "Misaligned","Aligned")</f>
        <v>Misaligned</v>
      </c>
    </row>
    <row r="105" spans="1:12" x14ac:dyDescent="0.3">
      <c r="A105" t="s">
        <v>11</v>
      </c>
      <c r="B105">
        <v>30</v>
      </c>
      <c r="C105">
        <v>60000</v>
      </c>
      <c r="D105" t="s">
        <v>19</v>
      </c>
      <c r="E105" t="s">
        <v>33</v>
      </c>
      <c r="F105" t="s">
        <v>36</v>
      </c>
      <c r="G105">
        <v>2020</v>
      </c>
      <c r="H105" s="1">
        <v>43881</v>
      </c>
      <c r="I105" t="s">
        <v>22</v>
      </c>
      <c r="J105" t="s">
        <v>30</v>
      </c>
      <c r="K105">
        <v>5</v>
      </c>
      <c r="L105" t="str">
        <f>IF(AND(C105&gt; Sheet1!B111,K105&lt;3), "Misaligned","Aligned")</f>
        <v>Aligned</v>
      </c>
    </row>
    <row r="106" spans="1:12" x14ac:dyDescent="0.3">
      <c r="A106" t="s">
        <v>24</v>
      </c>
      <c r="B106">
        <v>30</v>
      </c>
      <c r="C106">
        <v>60000</v>
      </c>
      <c r="D106" t="s">
        <v>12</v>
      </c>
      <c r="E106" t="s">
        <v>33</v>
      </c>
      <c r="F106" t="s">
        <v>39</v>
      </c>
      <c r="G106">
        <v>2018</v>
      </c>
      <c r="H106" s="1">
        <v>43195</v>
      </c>
      <c r="I106" t="s">
        <v>15</v>
      </c>
      <c r="J106" t="s">
        <v>16</v>
      </c>
      <c r="K106">
        <v>2</v>
      </c>
      <c r="L106" t="str">
        <f>IF(AND(C106&gt; Sheet1!B112,K106&lt;3), "Misaligned","Aligned")</f>
        <v>Misaligned</v>
      </c>
    </row>
    <row r="107" spans="1:12" x14ac:dyDescent="0.3">
      <c r="A107" t="s">
        <v>28</v>
      </c>
      <c r="B107">
        <v>50</v>
      </c>
      <c r="C107">
        <v>65000</v>
      </c>
      <c r="D107" t="s">
        <v>32</v>
      </c>
      <c r="E107" t="s">
        <v>29</v>
      </c>
      <c r="F107" t="s">
        <v>14</v>
      </c>
      <c r="G107">
        <v>2019</v>
      </c>
      <c r="H107" s="1">
        <v>43549</v>
      </c>
      <c r="I107" t="s">
        <v>34</v>
      </c>
      <c r="J107" t="s">
        <v>30</v>
      </c>
      <c r="K107">
        <v>5</v>
      </c>
      <c r="L107" t="str">
        <f>IF(AND(C107&gt; Sheet1!B113,K107&lt;3), "Misaligned","Aligned")</f>
        <v>Aligned</v>
      </c>
    </row>
    <row r="108" spans="1:12" x14ac:dyDescent="0.3">
      <c r="A108" t="s">
        <v>35</v>
      </c>
      <c r="B108" t="s">
        <v>18</v>
      </c>
      <c r="C108">
        <v>70000</v>
      </c>
      <c r="D108" t="s">
        <v>12</v>
      </c>
      <c r="E108" t="s">
        <v>20</v>
      </c>
      <c r="F108" t="s">
        <v>36</v>
      </c>
      <c r="G108">
        <v>2019</v>
      </c>
      <c r="H108" s="1">
        <v>43549</v>
      </c>
      <c r="I108" t="s">
        <v>34</v>
      </c>
      <c r="J108" t="s">
        <v>23</v>
      </c>
      <c r="K108">
        <v>1</v>
      </c>
      <c r="L108" t="str">
        <f>IF(AND(C108&gt; Sheet1!B114,K108&lt;3), "Misaligned","Aligned")</f>
        <v>Misaligned</v>
      </c>
    </row>
    <row r="109" spans="1:12" x14ac:dyDescent="0.3">
      <c r="A109" t="s">
        <v>24</v>
      </c>
      <c r="B109">
        <v>25</v>
      </c>
      <c r="C109">
        <v>70000</v>
      </c>
      <c r="D109" t="s">
        <v>32</v>
      </c>
      <c r="E109" t="s">
        <v>20</v>
      </c>
      <c r="F109" t="s">
        <v>40</v>
      </c>
      <c r="G109">
        <v>2020</v>
      </c>
      <c r="H109" s="1">
        <v>43845</v>
      </c>
      <c r="I109" t="s">
        <v>26</v>
      </c>
      <c r="J109" t="s">
        <v>23</v>
      </c>
      <c r="K109">
        <v>1</v>
      </c>
      <c r="L109" t="str">
        <f>IF(AND(C109&gt; Sheet1!B115,K109&lt;3), "Misaligned","Aligned")</f>
        <v>Misaligned</v>
      </c>
    </row>
    <row r="110" spans="1:12" x14ac:dyDescent="0.3">
      <c r="A110" t="s">
        <v>41</v>
      </c>
      <c r="B110">
        <v>30</v>
      </c>
      <c r="C110" t="s">
        <v>18</v>
      </c>
      <c r="D110" t="s">
        <v>12</v>
      </c>
      <c r="E110" t="s">
        <v>13</v>
      </c>
      <c r="F110" t="s">
        <v>36</v>
      </c>
      <c r="G110">
        <v>2019</v>
      </c>
      <c r="H110" s="1">
        <v>43800</v>
      </c>
      <c r="I110" t="s">
        <v>37</v>
      </c>
      <c r="J110" t="s">
        <v>30</v>
      </c>
      <c r="K110">
        <v>5</v>
      </c>
      <c r="L110" t="str">
        <f>IF(AND(C110&gt; Sheet1!B116,K110&lt;3), "Misaligned","Aligned")</f>
        <v>Aligned</v>
      </c>
    </row>
    <row r="111" spans="1:12" x14ac:dyDescent="0.3">
      <c r="A111" t="s">
        <v>35</v>
      </c>
      <c r="B111">
        <v>50</v>
      </c>
      <c r="C111">
        <v>60000</v>
      </c>
      <c r="D111" t="s">
        <v>32</v>
      </c>
      <c r="E111" t="s">
        <v>13</v>
      </c>
      <c r="F111" t="s">
        <v>36</v>
      </c>
      <c r="G111">
        <v>2019</v>
      </c>
      <c r="H111" s="1">
        <v>43800</v>
      </c>
      <c r="I111" t="s">
        <v>37</v>
      </c>
      <c r="J111" t="s">
        <v>30</v>
      </c>
      <c r="K111">
        <v>5</v>
      </c>
      <c r="L111" t="str">
        <f>IF(AND(C111&gt; Sheet1!B117,K111&lt;3), "Misaligned","Aligned")</f>
        <v>Aligned</v>
      </c>
    </row>
    <row r="112" spans="1:12" x14ac:dyDescent="0.3">
      <c r="A112" t="s">
        <v>43</v>
      </c>
      <c r="B112">
        <v>50</v>
      </c>
      <c r="C112">
        <v>55000</v>
      </c>
      <c r="D112" t="s">
        <v>19</v>
      </c>
      <c r="E112" t="s">
        <v>25</v>
      </c>
      <c r="F112" t="s">
        <v>36</v>
      </c>
      <c r="G112">
        <v>2020</v>
      </c>
      <c r="H112" s="1">
        <v>43845</v>
      </c>
      <c r="I112" t="s">
        <v>26</v>
      </c>
      <c r="J112" t="s">
        <v>30</v>
      </c>
      <c r="K112">
        <v>5</v>
      </c>
      <c r="L112" t="str">
        <f>IF(AND(C112&gt; Sheet1!B118,K112&lt;3), "Misaligned","Aligned")</f>
        <v>Aligned</v>
      </c>
    </row>
    <row r="113" spans="1:12" x14ac:dyDescent="0.3">
      <c r="A113" t="s">
        <v>35</v>
      </c>
      <c r="B113">
        <v>35</v>
      </c>
      <c r="C113" t="s">
        <v>18</v>
      </c>
      <c r="D113" t="s">
        <v>32</v>
      </c>
      <c r="E113" t="s">
        <v>29</v>
      </c>
      <c r="F113" t="s">
        <v>14</v>
      </c>
      <c r="G113">
        <v>2019</v>
      </c>
      <c r="H113" s="1">
        <v>43800</v>
      </c>
      <c r="I113" t="s">
        <v>37</v>
      </c>
      <c r="J113" t="s">
        <v>23</v>
      </c>
      <c r="K113">
        <v>1</v>
      </c>
      <c r="L113" t="str">
        <f>IF(AND(C113&gt; Sheet1!B119,K113&lt;3), "Misaligned","Aligned")</f>
        <v>Misaligned</v>
      </c>
    </row>
    <row r="114" spans="1:12" x14ac:dyDescent="0.3">
      <c r="A114" t="s">
        <v>28</v>
      </c>
      <c r="B114" t="s">
        <v>18</v>
      </c>
      <c r="C114">
        <v>70000</v>
      </c>
      <c r="D114" t="s">
        <v>12</v>
      </c>
      <c r="E114" t="s">
        <v>13</v>
      </c>
      <c r="F114" t="s">
        <v>14</v>
      </c>
      <c r="G114">
        <v>2020</v>
      </c>
      <c r="H114" s="1">
        <v>43881</v>
      </c>
      <c r="I114" t="s">
        <v>22</v>
      </c>
      <c r="J114" t="s">
        <v>38</v>
      </c>
      <c r="K114">
        <v>4</v>
      </c>
      <c r="L114" t="str">
        <f>IF(AND(C114&gt; Sheet1!B120,K114&lt;3), "Misaligned","Aligned")</f>
        <v>Aligned</v>
      </c>
    </row>
    <row r="115" spans="1:12" x14ac:dyDescent="0.3">
      <c r="A115" t="s">
        <v>35</v>
      </c>
      <c r="B115">
        <v>25</v>
      </c>
      <c r="C115">
        <v>65000</v>
      </c>
      <c r="D115" t="s">
        <v>19</v>
      </c>
      <c r="E115" t="s">
        <v>13</v>
      </c>
      <c r="F115" t="s">
        <v>40</v>
      </c>
      <c r="G115">
        <v>2019</v>
      </c>
      <c r="H115" s="1">
        <v>43800</v>
      </c>
      <c r="I115" t="s">
        <v>37</v>
      </c>
      <c r="J115" t="s">
        <v>30</v>
      </c>
      <c r="K115">
        <v>5</v>
      </c>
      <c r="L115" t="str">
        <f>IF(AND(C115&gt; Sheet1!B121,K115&lt;3), "Misaligned","Aligned")</f>
        <v>Aligned</v>
      </c>
    </row>
    <row r="116" spans="1:12" x14ac:dyDescent="0.3">
      <c r="A116" t="s">
        <v>43</v>
      </c>
      <c r="B116">
        <v>40</v>
      </c>
      <c r="C116">
        <v>70000</v>
      </c>
      <c r="D116" t="s">
        <v>32</v>
      </c>
      <c r="E116" t="s">
        <v>29</v>
      </c>
      <c r="F116" t="s">
        <v>21</v>
      </c>
      <c r="G116">
        <v>2019</v>
      </c>
      <c r="H116" s="1">
        <v>43800</v>
      </c>
      <c r="I116" t="s">
        <v>37</v>
      </c>
      <c r="J116" t="s">
        <v>16</v>
      </c>
      <c r="K116">
        <v>2</v>
      </c>
      <c r="L116" t="str">
        <f>IF(AND(C116&gt; Sheet1!B122,K116&lt;3), "Misaligned","Aligned")</f>
        <v>Misaligned</v>
      </c>
    </row>
    <row r="117" spans="1:12" x14ac:dyDescent="0.3">
      <c r="A117" t="s">
        <v>28</v>
      </c>
      <c r="B117">
        <v>35</v>
      </c>
      <c r="C117">
        <v>65000</v>
      </c>
      <c r="D117" t="s">
        <v>32</v>
      </c>
      <c r="E117" t="s">
        <v>25</v>
      </c>
      <c r="F117" t="s">
        <v>21</v>
      </c>
      <c r="G117">
        <v>2020</v>
      </c>
      <c r="H117" s="1">
        <v>43845</v>
      </c>
      <c r="I117" t="s">
        <v>26</v>
      </c>
      <c r="J117" t="s">
        <v>23</v>
      </c>
      <c r="K117">
        <v>1</v>
      </c>
      <c r="L117" t="str">
        <f>IF(AND(C117&gt; Sheet1!B123,K117&lt;3), "Misaligned","Aligned")</f>
        <v>Misaligned</v>
      </c>
    </row>
    <row r="118" spans="1:12" x14ac:dyDescent="0.3">
      <c r="A118" t="s">
        <v>31</v>
      </c>
      <c r="B118">
        <v>30</v>
      </c>
      <c r="C118" t="s">
        <v>18</v>
      </c>
      <c r="D118" t="s">
        <v>32</v>
      </c>
      <c r="E118" t="s">
        <v>13</v>
      </c>
      <c r="F118" t="s">
        <v>21</v>
      </c>
      <c r="G118">
        <v>2018</v>
      </c>
      <c r="H118" s="1">
        <v>43195</v>
      </c>
      <c r="I118" t="s">
        <v>15</v>
      </c>
      <c r="J118" t="s">
        <v>27</v>
      </c>
      <c r="K118">
        <v>3</v>
      </c>
      <c r="L118" t="str">
        <f>IF(AND(C118&gt; Sheet1!B124,K118&lt;3), "Misaligned","Aligned")</f>
        <v>Aligned</v>
      </c>
    </row>
    <row r="119" spans="1:12" x14ac:dyDescent="0.3">
      <c r="A119" t="s">
        <v>11</v>
      </c>
      <c r="B119">
        <v>30</v>
      </c>
      <c r="C119">
        <v>60000</v>
      </c>
      <c r="D119" t="s">
        <v>32</v>
      </c>
      <c r="E119" t="s">
        <v>25</v>
      </c>
      <c r="F119" t="s">
        <v>40</v>
      </c>
      <c r="G119">
        <v>2019</v>
      </c>
      <c r="H119" s="1">
        <v>43800</v>
      </c>
      <c r="I119" t="s">
        <v>37</v>
      </c>
      <c r="J119" t="s">
        <v>27</v>
      </c>
      <c r="K119">
        <v>3</v>
      </c>
      <c r="L119" t="str">
        <f>IF(AND(C119&gt; Sheet1!B125,K119&lt;3), "Misaligned","Aligned")</f>
        <v>Aligned</v>
      </c>
    </row>
    <row r="120" spans="1:12" x14ac:dyDescent="0.3">
      <c r="A120" t="s">
        <v>11</v>
      </c>
      <c r="B120">
        <v>35</v>
      </c>
      <c r="C120">
        <v>70000</v>
      </c>
      <c r="D120" t="s">
        <v>32</v>
      </c>
      <c r="E120" t="s">
        <v>33</v>
      </c>
      <c r="F120" t="s">
        <v>21</v>
      </c>
      <c r="G120">
        <v>2019</v>
      </c>
      <c r="H120" s="1">
        <v>43800</v>
      </c>
      <c r="I120" t="s">
        <v>37</v>
      </c>
      <c r="J120" t="s">
        <v>16</v>
      </c>
      <c r="K120">
        <v>2</v>
      </c>
      <c r="L120" t="str">
        <f>IF(AND(C120&gt; Sheet1!B126,K120&lt;3), "Misaligned","Aligned")</f>
        <v>Misaligned</v>
      </c>
    </row>
    <row r="121" spans="1:12" x14ac:dyDescent="0.3">
      <c r="A121" t="s">
        <v>44</v>
      </c>
      <c r="B121">
        <v>50</v>
      </c>
      <c r="C121">
        <v>65000</v>
      </c>
      <c r="D121" t="s">
        <v>19</v>
      </c>
      <c r="E121" t="s">
        <v>25</v>
      </c>
      <c r="F121" t="s">
        <v>21</v>
      </c>
      <c r="G121">
        <v>2018</v>
      </c>
      <c r="H121" s="1">
        <v>43195</v>
      </c>
      <c r="I121" t="s">
        <v>15</v>
      </c>
      <c r="J121" t="s">
        <v>38</v>
      </c>
      <c r="K121">
        <v>4</v>
      </c>
      <c r="L121" t="str">
        <f>IF(AND(C121&gt; Sheet1!B127,K121&lt;3), "Misaligned","Aligned")</f>
        <v>Aligned</v>
      </c>
    </row>
    <row r="122" spans="1:12" x14ac:dyDescent="0.3">
      <c r="A122" t="s">
        <v>31</v>
      </c>
      <c r="B122">
        <v>30</v>
      </c>
      <c r="C122">
        <v>60000</v>
      </c>
      <c r="D122" t="s">
        <v>19</v>
      </c>
      <c r="E122" t="s">
        <v>20</v>
      </c>
      <c r="F122" t="s">
        <v>36</v>
      </c>
      <c r="G122">
        <v>2020</v>
      </c>
      <c r="H122" s="1">
        <v>43845</v>
      </c>
      <c r="I122" t="s">
        <v>26</v>
      </c>
      <c r="J122" t="s">
        <v>30</v>
      </c>
      <c r="K122">
        <v>5</v>
      </c>
      <c r="L122" t="str">
        <f>IF(AND(C122&gt; Sheet1!B128,K122&lt;3), "Misaligned","Aligned")</f>
        <v>Aligned</v>
      </c>
    </row>
    <row r="123" spans="1:12" x14ac:dyDescent="0.3">
      <c r="A123" t="s">
        <v>31</v>
      </c>
      <c r="B123" t="s">
        <v>18</v>
      </c>
      <c r="C123">
        <v>55000</v>
      </c>
      <c r="D123" t="s">
        <v>19</v>
      </c>
      <c r="E123" t="s">
        <v>20</v>
      </c>
      <c r="F123" t="s">
        <v>14</v>
      </c>
      <c r="G123">
        <v>2018</v>
      </c>
      <c r="H123" s="1">
        <v>43195</v>
      </c>
      <c r="I123" t="s">
        <v>15</v>
      </c>
      <c r="J123" t="s">
        <v>23</v>
      </c>
      <c r="K123">
        <v>1</v>
      </c>
      <c r="L123" t="str">
        <f>IF(AND(C123&gt; Sheet1!B129,K123&lt;3), "Misaligned","Aligned")</f>
        <v>Misaligned</v>
      </c>
    </row>
    <row r="124" spans="1:12" x14ac:dyDescent="0.3">
      <c r="A124" t="s">
        <v>35</v>
      </c>
      <c r="B124">
        <v>25</v>
      </c>
      <c r="C124">
        <v>65000</v>
      </c>
      <c r="D124" t="s">
        <v>19</v>
      </c>
      <c r="E124" t="s">
        <v>25</v>
      </c>
      <c r="F124" t="s">
        <v>14</v>
      </c>
      <c r="G124">
        <v>2020</v>
      </c>
      <c r="H124" s="1">
        <v>43845</v>
      </c>
      <c r="I124" t="s">
        <v>26</v>
      </c>
      <c r="J124" t="s">
        <v>30</v>
      </c>
      <c r="K124">
        <v>5</v>
      </c>
      <c r="L124" t="str">
        <f>IF(AND(C124&gt; Sheet1!B130,K124&lt;3), "Misaligned","Aligned")</f>
        <v>Aligned</v>
      </c>
    </row>
    <row r="125" spans="1:12" x14ac:dyDescent="0.3">
      <c r="A125" t="s">
        <v>11</v>
      </c>
      <c r="B125" t="s">
        <v>18</v>
      </c>
      <c r="C125" t="s">
        <v>18</v>
      </c>
      <c r="D125" t="s">
        <v>12</v>
      </c>
      <c r="E125" t="s">
        <v>20</v>
      </c>
      <c r="F125" t="s">
        <v>36</v>
      </c>
      <c r="G125">
        <v>2020</v>
      </c>
      <c r="H125" s="1">
        <v>43881</v>
      </c>
      <c r="I125" t="s">
        <v>22</v>
      </c>
      <c r="J125" t="s">
        <v>23</v>
      </c>
      <c r="K125">
        <v>1</v>
      </c>
      <c r="L125" t="str">
        <f>IF(AND(C125&gt; Sheet1!B131,K125&lt;3), "Misaligned","Aligned")</f>
        <v>Misaligned</v>
      </c>
    </row>
    <row r="126" spans="1:12" x14ac:dyDescent="0.3">
      <c r="A126" t="s">
        <v>43</v>
      </c>
      <c r="B126">
        <v>30</v>
      </c>
      <c r="C126">
        <v>55000</v>
      </c>
      <c r="D126" t="s">
        <v>19</v>
      </c>
      <c r="E126" t="s">
        <v>33</v>
      </c>
      <c r="F126" t="s">
        <v>36</v>
      </c>
      <c r="G126">
        <v>2020</v>
      </c>
      <c r="H126" s="1">
        <v>43845</v>
      </c>
      <c r="I126" t="s">
        <v>26</v>
      </c>
      <c r="J126" t="s">
        <v>27</v>
      </c>
      <c r="K126">
        <v>3</v>
      </c>
      <c r="L126" t="str">
        <f>IF(AND(C126&gt; Sheet1!B132,K126&lt;3), "Misaligned","Aligned")</f>
        <v>Aligned</v>
      </c>
    </row>
    <row r="127" spans="1:12" x14ac:dyDescent="0.3">
      <c r="A127" t="s">
        <v>17</v>
      </c>
      <c r="B127">
        <v>40</v>
      </c>
      <c r="C127">
        <v>55000</v>
      </c>
      <c r="D127" t="s">
        <v>32</v>
      </c>
      <c r="E127" t="s">
        <v>29</v>
      </c>
      <c r="F127" t="s">
        <v>36</v>
      </c>
      <c r="G127">
        <v>2020</v>
      </c>
      <c r="H127" s="1">
        <v>43881</v>
      </c>
      <c r="I127" t="s">
        <v>22</v>
      </c>
      <c r="J127" t="s">
        <v>30</v>
      </c>
      <c r="K127">
        <v>5</v>
      </c>
      <c r="L127" t="str">
        <f>IF(AND(C127&gt; Sheet1!B133,K127&lt;3), "Misaligned","Aligned")</f>
        <v>Aligned</v>
      </c>
    </row>
    <row r="128" spans="1:12" x14ac:dyDescent="0.3">
      <c r="A128" t="s">
        <v>17</v>
      </c>
      <c r="B128">
        <v>25</v>
      </c>
      <c r="C128">
        <v>50000</v>
      </c>
      <c r="D128" t="s">
        <v>32</v>
      </c>
      <c r="E128" t="s">
        <v>20</v>
      </c>
      <c r="F128" t="s">
        <v>14</v>
      </c>
      <c r="G128">
        <v>2020</v>
      </c>
      <c r="H128" s="1">
        <v>43881</v>
      </c>
      <c r="I128" t="s">
        <v>22</v>
      </c>
      <c r="J128" t="s">
        <v>16</v>
      </c>
      <c r="K128">
        <v>2</v>
      </c>
      <c r="L128" t="str">
        <f>IF(AND(C128&gt; Sheet1!B134,K128&lt;3), "Misaligned","Aligned")</f>
        <v>Misaligned</v>
      </c>
    </row>
    <row r="129" spans="1:12" x14ac:dyDescent="0.3">
      <c r="A129" t="s">
        <v>28</v>
      </c>
      <c r="B129">
        <v>25</v>
      </c>
      <c r="C129">
        <v>70000</v>
      </c>
      <c r="D129" t="s">
        <v>19</v>
      </c>
      <c r="E129" t="s">
        <v>20</v>
      </c>
      <c r="F129" t="s">
        <v>21</v>
      </c>
      <c r="G129">
        <v>2020</v>
      </c>
      <c r="H129" s="1">
        <v>43845</v>
      </c>
      <c r="I129" t="s">
        <v>26</v>
      </c>
      <c r="J129" t="s">
        <v>38</v>
      </c>
      <c r="K129">
        <v>4</v>
      </c>
      <c r="L129" t="str">
        <f>IF(AND(C129&gt; Sheet1!B135,K129&lt;3), "Misaligned","Aligned")</f>
        <v>Aligned</v>
      </c>
    </row>
    <row r="130" spans="1:12" x14ac:dyDescent="0.3">
      <c r="A130" t="s">
        <v>11</v>
      </c>
      <c r="B130">
        <v>35</v>
      </c>
      <c r="C130">
        <v>65000</v>
      </c>
      <c r="D130" t="s">
        <v>32</v>
      </c>
      <c r="E130" t="s">
        <v>25</v>
      </c>
      <c r="F130" t="s">
        <v>36</v>
      </c>
      <c r="G130">
        <v>2019</v>
      </c>
      <c r="H130" s="1">
        <v>43549</v>
      </c>
      <c r="I130" t="s">
        <v>34</v>
      </c>
      <c r="J130" t="s">
        <v>16</v>
      </c>
      <c r="K130">
        <v>2</v>
      </c>
      <c r="L130" t="str">
        <f>IF(AND(C130&gt; Sheet1!B136,K130&lt;3), "Misaligned","Aligned")</f>
        <v>Misaligned</v>
      </c>
    </row>
    <row r="131" spans="1:12" x14ac:dyDescent="0.3">
      <c r="A131" t="s">
        <v>11</v>
      </c>
      <c r="B131">
        <v>35</v>
      </c>
      <c r="C131">
        <v>55000</v>
      </c>
      <c r="D131" t="s">
        <v>19</v>
      </c>
      <c r="E131" t="s">
        <v>33</v>
      </c>
      <c r="F131" t="s">
        <v>40</v>
      </c>
      <c r="G131">
        <v>2020</v>
      </c>
      <c r="H131" s="1">
        <v>43845</v>
      </c>
      <c r="I131" t="s">
        <v>26</v>
      </c>
      <c r="J131" t="s">
        <v>38</v>
      </c>
      <c r="K131">
        <v>4</v>
      </c>
      <c r="L131" t="str">
        <f>IF(AND(C131&gt; Sheet1!B137,K131&lt;3), "Misaligned","Aligned")</f>
        <v>Aligned</v>
      </c>
    </row>
    <row r="132" spans="1:12" x14ac:dyDescent="0.3">
      <c r="A132" t="s">
        <v>17</v>
      </c>
      <c r="B132">
        <v>40</v>
      </c>
      <c r="C132">
        <v>50000</v>
      </c>
      <c r="D132" t="s">
        <v>32</v>
      </c>
      <c r="E132" t="s">
        <v>29</v>
      </c>
      <c r="F132" t="s">
        <v>36</v>
      </c>
      <c r="G132">
        <v>2019</v>
      </c>
      <c r="H132" s="1">
        <v>43800</v>
      </c>
      <c r="I132" t="s">
        <v>37</v>
      </c>
      <c r="J132" t="s">
        <v>30</v>
      </c>
      <c r="K132">
        <v>5</v>
      </c>
      <c r="L132" t="str">
        <f>IF(AND(C132&gt; Sheet1!B138,K132&lt;3), "Misaligned","Aligned")</f>
        <v>Aligned</v>
      </c>
    </row>
    <row r="133" spans="1:12" x14ac:dyDescent="0.3">
      <c r="A133" t="s">
        <v>11</v>
      </c>
      <c r="B133">
        <v>50</v>
      </c>
      <c r="C133" t="s">
        <v>18</v>
      </c>
      <c r="D133" t="s">
        <v>12</v>
      </c>
      <c r="E133" t="s">
        <v>25</v>
      </c>
      <c r="F133" t="s">
        <v>39</v>
      </c>
      <c r="G133">
        <v>2019</v>
      </c>
      <c r="H133" s="1">
        <v>43800</v>
      </c>
      <c r="I133" t="s">
        <v>37</v>
      </c>
      <c r="J133" t="s">
        <v>30</v>
      </c>
      <c r="K133">
        <v>5</v>
      </c>
      <c r="L133" t="str">
        <f>IF(AND(C133&gt; Sheet1!B139,K133&lt;3), "Misaligned","Aligned")</f>
        <v>Aligned</v>
      </c>
    </row>
    <row r="134" spans="1:12" x14ac:dyDescent="0.3">
      <c r="A134" t="s">
        <v>35</v>
      </c>
      <c r="B134">
        <v>25</v>
      </c>
      <c r="C134">
        <v>60000</v>
      </c>
      <c r="D134" t="s">
        <v>12</v>
      </c>
      <c r="E134" t="s">
        <v>25</v>
      </c>
      <c r="F134" t="s">
        <v>36</v>
      </c>
      <c r="G134">
        <v>2019</v>
      </c>
      <c r="H134" s="1">
        <v>43549</v>
      </c>
      <c r="I134" t="s">
        <v>34</v>
      </c>
      <c r="J134" t="s">
        <v>38</v>
      </c>
      <c r="K134">
        <v>4</v>
      </c>
      <c r="L134" t="str">
        <f>IF(AND(C134&gt; Sheet1!B140,K134&lt;3), "Misaligned","Aligned")</f>
        <v>Aligned</v>
      </c>
    </row>
    <row r="135" spans="1:12" x14ac:dyDescent="0.3">
      <c r="A135" t="s">
        <v>41</v>
      </c>
      <c r="B135">
        <v>40</v>
      </c>
      <c r="C135">
        <v>65000</v>
      </c>
      <c r="D135" t="s">
        <v>19</v>
      </c>
      <c r="E135" t="s">
        <v>33</v>
      </c>
      <c r="F135" t="s">
        <v>14</v>
      </c>
      <c r="G135">
        <v>2020</v>
      </c>
      <c r="H135" s="1">
        <v>43881</v>
      </c>
      <c r="I135" t="s">
        <v>22</v>
      </c>
      <c r="J135" t="s">
        <v>27</v>
      </c>
      <c r="K135">
        <v>3</v>
      </c>
      <c r="L135" t="str">
        <f>IF(AND(C135&gt; Sheet1!B141,K135&lt;3), "Misaligned","Aligned")</f>
        <v>Aligned</v>
      </c>
    </row>
    <row r="136" spans="1:12" x14ac:dyDescent="0.3">
      <c r="A136" t="s">
        <v>42</v>
      </c>
      <c r="B136">
        <v>35</v>
      </c>
      <c r="C136">
        <v>55000</v>
      </c>
      <c r="D136" t="s">
        <v>19</v>
      </c>
      <c r="E136" t="s">
        <v>29</v>
      </c>
      <c r="F136" t="s">
        <v>36</v>
      </c>
      <c r="G136">
        <v>2019</v>
      </c>
      <c r="H136" s="1">
        <v>43549</v>
      </c>
      <c r="I136" t="s">
        <v>34</v>
      </c>
      <c r="J136" t="s">
        <v>23</v>
      </c>
      <c r="K136">
        <v>1</v>
      </c>
      <c r="L136" t="str">
        <f>IF(AND(C136&gt; Sheet1!B142,K136&lt;3), "Misaligned","Aligned")</f>
        <v>Misaligned</v>
      </c>
    </row>
    <row r="137" spans="1:12" x14ac:dyDescent="0.3">
      <c r="A137" t="s">
        <v>31</v>
      </c>
      <c r="B137">
        <v>35</v>
      </c>
      <c r="C137">
        <v>70000</v>
      </c>
      <c r="D137" t="s">
        <v>19</v>
      </c>
      <c r="E137" t="s">
        <v>33</v>
      </c>
      <c r="F137" t="s">
        <v>39</v>
      </c>
      <c r="G137">
        <v>2019</v>
      </c>
      <c r="H137" s="1">
        <v>43800</v>
      </c>
      <c r="I137" t="s">
        <v>37</v>
      </c>
      <c r="J137" t="s">
        <v>16</v>
      </c>
      <c r="K137">
        <v>2</v>
      </c>
      <c r="L137" t="str">
        <f>IF(AND(C137&gt; Sheet1!B143,K137&lt;3), "Misaligned","Aligned")</f>
        <v>Misaligned</v>
      </c>
    </row>
    <row r="138" spans="1:12" x14ac:dyDescent="0.3">
      <c r="A138" t="s">
        <v>44</v>
      </c>
      <c r="B138">
        <v>25</v>
      </c>
      <c r="C138">
        <v>50000</v>
      </c>
      <c r="D138" t="s">
        <v>32</v>
      </c>
      <c r="E138" t="s">
        <v>29</v>
      </c>
      <c r="F138" t="s">
        <v>40</v>
      </c>
      <c r="G138">
        <v>2019</v>
      </c>
      <c r="H138" s="1">
        <v>43549</v>
      </c>
      <c r="I138" t="s">
        <v>34</v>
      </c>
      <c r="J138" t="s">
        <v>16</v>
      </c>
      <c r="K138">
        <v>2</v>
      </c>
      <c r="L138" t="str">
        <f>IF(AND(C138&gt; Sheet1!B144,K138&lt;3), "Misaligned","Aligned")</f>
        <v>Misaligned</v>
      </c>
    </row>
    <row r="139" spans="1:12" x14ac:dyDescent="0.3">
      <c r="A139" t="s">
        <v>28</v>
      </c>
      <c r="B139" t="s">
        <v>18</v>
      </c>
      <c r="C139">
        <v>55000</v>
      </c>
      <c r="D139" t="s">
        <v>19</v>
      </c>
      <c r="E139" t="s">
        <v>33</v>
      </c>
      <c r="F139" t="s">
        <v>21</v>
      </c>
      <c r="G139">
        <v>2020</v>
      </c>
      <c r="H139" s="1">
        <v>43845</v>
      </c>
      <c r="I139" t="s">
        <v>26</v>
      </c>
      <c r="J139" t="s">
        <v>16</v>
      </c>
      <c r="K139">
        <v>2</v>
      </c>
      <c r="L139" t="str">
        <f>IF(AND(C139&gt; Sheet1!B145,K139&lt;3), "Misaligned","Aligned")</f>
        <v>Misaligned</v>
      </c>
    </row>
    <row r="140" spans="1:12" x14ac:dyDescent="0.3">
      <c r="A140" t="s">
        <v>41</v>
      </c>
      <c r="B140">
        <v>30</v>
      </c>
      <c r="C140">
        <v>70000</v>
      </c>
      <c r="D140" t="s">
        <v>12</v>
      </c>
      <c r="E140" t="s">
        <v>25</v>
      </c>
      <c r="F140" t="s">
        <v>36</v>
      </c>
      <c r="G140">
        <v>2019</v>
      </c>
      <c r="H140" s="1">
        <v>43549</v>
      </c>
      <c r="I140" t="s">
        <v>34</v>
      </c>
      <c r="J140" t="s">
        <v>30</v>
      </c>
      <c r="K140">
        <v>5</v>
      </c>
      <c r="L140" t="str">
        <f>IF(AND(C140&gt; Sheet1!B146,K140&lt;3), "Misaligned","Aligned")</f>
        <v>Aligned</v>
      </c>
    </row>
    <row r="141" spans="1:12" x14ac:dyDescent="0.3">
      <c r="A141" t="s">
        <v>17</v>
      </c>
      <c r="B141">
        <v>35</v>
      </c>
      <c r="C141">
        <v>55000</v>
      </c>
      <c r="D141" t="s">
        <v>32</v>
      </c>
      <c r="E141" t="s">
        <v>25</v>
      </c>
      <c r="F141" t="s">
        <v>39</v>
      </c>
      <c r="G141">
        <v>2020</v>
      </c>
      <c r="H141" s="1">
        <v>43881</v>
      </c>
      <c r="I141" t="s">
        <v>22</v>
      </c>
      <c r="J141" t="s">
        <v>16</v>
      </c>
      <c r="K141">
        <v>2</v>
      </c>
      <c r="L141" t="str">
        <f>IF(AND(C141&gt; Sheet1!B147,K141&lt;3), "Misaligned","Aligned")</f>
        <v>Misaligned</v>
      </c>
    </row>
    <row r="142" spans="1:12" x14ac:dyDescent="0.3">
      <c r="A142" t="s">
        <v>31</v>
      </c>
      <c r="B142">
        <v>50</v>
      </c>
      <c r="C142">
        <v>65000</v>
      </c>
      <c r="D142" t="s">
        <v>19</v>
      </c>
      <c r="E142" t="s">
        <v>13</v>
      </c>
      <c r="F142" t="s">
        <v>39</v>
      </c>
      <c r="G142">
        <v>2020</v>
      </c>
      <c r="H142" s="1">
        <v>43845</v>
      </c>
      <c r="I142" t="s">
        <v>26</v>
      </c>
      <c r="J142" t="s">
        <v>23</v>
      </c>
      <c r="K142">
        <v>1</v>
      </c>
      <c r="L142" t="str">
        <f>IF(AND(C142&gt; Sheet1!B148,K142&lt;3), "Misaligned","Aligned")</f>
        <v>Misaligned</v>
      </c>
    </row>
    <row r="143" spans="1:12" x14ac:dyDescent="0.3">
      <c r="A143" t="s">
        <v>11</v>
      </c>
      <c r="B143">
        <v>50</v>
      </c>
      <c r="C143">
        <v>65000</v>
      </c>
      <c r="D143" t="s">
        <v>32</v>
      </c>
      <c r="E143" t="s">
        <v>20</v>
      </c>
      <c r="F143" t="s">
        <v>40</v>
      </c>
      <c r="G143">
        <v>2018</v>
      </c>
      <c r="H143" s="1">
        <v>43195</v>
      </c>
      <c r="I143" t="s">
        <v>15</v>
      </c>
      <c r="J143" t="s">
        <v>23</v>
      </c>
      <c r="K143">
        <v>1</v>
      </c>
      <c r="L143" t="str">
        <f>IF(AND(C143&gt; Sheet1!B149,K143&lt;3), "Misaligned","Aligned")</f>
        <v>Misaligned</v>
      </c>
    </row>
    <row r="144" spans="1:12" x14ac:dyDescent="0.3">
      <c r="A144" t="s">
        <v>44</v>
      </c>
      <c r="B144">
        <v>35</v>
      </c>
      <c r="C144">
        <v>65000</v>
      </c>
      <c r="D144" t="s">
        <v>32</v>
      </c>
      <c r="E144" t="s">
        <v>33</v>
      </c>
      <c r="F144" t="s">
        <v>14</v>
      </c>
      <c r="G144">
        <v>2019</v>
      </c>
      <c r="H144" s="1">
        <v>43800</v>
      </c>
      <c r="I144" t="s">
        <v>37</v>
      </c>
      <c r="J144" t="s">
        <v>38</v>
      </c>
      <c r="K144">
        <v>4</v>
      </c>
      <c r="L144" t="str">
        <f>IF(AND(C144&gt; Sheet1!B150,K144&lt;3), "Misaligned","Aligned")</f>
        <v>Aligned</v>
      </c>
    </row>
    <row r="145" spans="1:12" x14ac:dyDescent="0.3">
      <c r="A145" t="s">
        <v>11</v>
      </c>
      <c r="B145" t="s">
        <v>18</v>
      </c>
      <c r="C145" t="s">
        <v>18</v>
      </c>
      <c r="D145" t="s">
        <v>19</v>
      </c>
      <c r="E145" t="s">
        <v>13</v>
      </c>
      <c r="F145" t="s">
        <v>36</v>
      </c>
      <c r="G145">
        <v>2019</v>
      </c>
      <c r="H145" s="1">
        <v>43800</v>
      </c>
      <c r="I145" t="s">
        <v>37</v>
      </c>
      <c r="J145" t="s">
        <v>30</v>
      </c>
      <c r="K145">
        <v>5</v>
      </c>
      <c r="L145" t="str">
        <f>IF(AND(C145&gt; Sheet1!B151,K145&lt;3), "Misaligned","Aligned")</f>
        <v>Aligned</v>
      </c>
    </row>
    <row r="146" spans="1:12" x14ac:dyDescent="0.3">
      <c r="A146" t="s">
        <v>43</v>
      </c>
      <c r="B146" t="s">
        <v>18</v>
      </c>
      <c r="C146" t="s">
        <v>18</v>
      </c>
      <c r="D146" t="s">
        <v>32</v>
      </c>
      <c r="E146" t="s">
        <v>20</v>
      </c>
      <c r="F146" t="s">
        <v>39</v>
      </c>
      <c r="G146">
        <v>2019</v>
      </c>
      <c r="H146" s="1">
        <v>43549</v>
      </c>
      <c r="I146" t="s">
        <v>34</v>
      </c>
      <c r="J146" t="s">
        <v>23</v>
      </c>
      <c r="K146">
        <v>1</v>
      </c>
      <c r="L146" t="str">
        <f>IF(AND(C146&gt; Sheet1!B152,K146&lt;3), "Misaligned","Aligned")</f>
        <v>Misaligned</v>
      </c>
    </row>
    <row r="147" spans="1:12" x14ac:dyDescent="0.3">
      <c r="A147" t="s">
        <v>43</v>
      </c>
      <c r="B147">
        <v>40</v>
      </c>
      <c r="C147">
        <v>50000</v>
      </c>
      <c r="D147" t="s">
        <v>12</v>
      </c>
      <c r="E147" t="s">
        <v>33</v>
      </c>
      <c r="F147" t="s">
        <v>40</v>
      </c>
      <c r="G147">
        <v>2020</v>
      </c>
      <c r="H147" s="1">
        <v>43845</v>
      </c>
      <c r="I147" t="s">
        <v>26</v>
      </c>
      <c r="J147" t="s">
        <v>27</v>
      </c>
      <c r="K147">
        <v>3</v>
      </c>
      <c r="L147" t="str">
        <f>IF(AND(C147&gt; Sheet1!B153,K147&lt;3), "Misaligned","Aligned")</f>
        <v>Aligned</v>
      </c>
    </row>
    <row r="148" spans="1:12" x14ac:dyDescent="0.3">
      <c r="A148" t="s">
        <v>44</v>
      </c>
      <c r="B148">
        <v>50</v>
      </c>
      <c r="C148">
        <v>65000</v>
      </c>
      <c r="D148" t="s">
        <v>12</v>
      </c>
      <c r="E148" t="s">
        <v>29</v>
      </c>
      <c r="F148" t="s">
        <v>21</v>
      </c>
      <c r="G148">
        <v>2018</v>
      </c>
      <c r="H148" s="1">
        <v>43195</v>
      </c>
      <c r="I148" t="s">
        <v>15</v>
      </c>
      <c r="J148" t="s">
        <v>30</v>
      </c>
      <c r="K148">
        <v>5</v>
      </c>
      <c r="L148" t="str">
        <f>IF(AND(C148&gt; Sheet1!B154,K148&lt;3), "Misaligned","Aligned")</f>
        <v>Aligned</v>
      </c>
    </row>
    <row r="149" spans="1:12" x14ac:dyDescent="0.3">
      <c r="A149" t="s">
        <v>44</v>
      </c>
      <c r="B149">
        <v>40</v>
      </c>
      <c r="C149">
        <v>70000</v>
      </c>
      <c r="D149" t="s">
        <v>32</v>
      </c>
      <c r="E149" t="s">
        <v>20</v>
      </c>
      <c r="F149" t="s">
        <v>39</v>
      </c>
      <c r="G149">
        <v>2020</v>
      </c>
      <c r="H149" s="1">
        <v>43845</v>
      </c>
      <c r="I149" t="s">
        <v>26</v>
      </c>
      <c r="J149" t="s">
        <v>30</v>
      </c>
      <c r="K149">
        <v>5</v>
      </c>
      <c r="L149" t="str">
        <f>IF(AND(C149&gt; Sheet1!B155,K149&lt;3), "Misaligned","Aligned")</f>
        <v>Aligned</v>
      </c>
    </row>
    <row r="150" spans="1:12" x14ac:dyDescent="0.3">
      <c r="A150" t="s">
        <v>17</v>
      </c>
      <c r="B150">
        <v>50</v>
      </c>
      <c r="C150">
        <v>55000</v>
      </c>
      <c r="D150" t="s">
        <v>19</v>
      </c>
      <c r="E150" t="s">
        <v>25</v>
      </c>
      <c r="F150" t="s">
        <v>40</v>
      </c>
      <c r="G150">
        <v>2019</v>
      </c>
      <c r="H150" s="1">
        <v>43800</v>
      </c>
      <c r="I150" t="s">
        <v>37</v>
      </c>
      <c r="J150" t="s">
        <v>23</v>
      </c>
      <c r="K150">
        <v>1</v>
      </c>
      <c r="L150" t="str">
        <f>IF(AND(C150&gt; Sheet1!B156,K150&lt;3), "Misaligned","Aligned")</f>
        <v>Misaligned</v>
      </c>
    </row>
    <row r="151" spans="1:12" x14ac:dyDescent="0.3">
      <c r="A151" t="s">
        <v>44</v>
      </c>
      <c r="B151">
        <v>30</v>
      </c>
      <c r="C151">
        <v>60000</v>
      </c>
      <c r="D151" t="s">
        <v>32</v>
      </c>
      <c r="E151" t="s">
        <v>13</v>
      </c>
      <c r="F151" t="s">
        <v>14</v>
      </c>
      <c r="G151">
        <v>2020</v>
      </c>
      <c r="H151" s="1">
        <v>43845</v>
      </c>
      <c r="I151" t="s">
        <v>26</v>
      </c>
      <c r="J151" t="s">
        <v>27</v>
      </c>
      <c r="K151">
        <v>3</v>
      </c>
      <c r="L151" t="str">
        <f>IF(AND(C151&gt; Sheet1!B157,K151&lt;3), "Misaligned","Aligned")</f>
        <v>Aligned</v>
      </c>
    </row>
    <row r="152" spans="1:12" x14ac:dyDescent="0.3">
      <c r="A152" t="s">
        <v>35</v>
      </c>
      <c r="B152">
        <v>30</v>
      </c>
      <c r="C152">
        <v>70000</v>
      </c>
      <c r="D152" t="s">
        <v>12</v>
      </c>
      <c r="E152" t="s">
        <v>20</v>
      </c>
      <c r="F152" t="s">
        <v>14</v>
      </c>
      <c r="G152">
        <v>2018</v>
      </c>
      <c r="H152" s="1">
        <v>43195</v>
      </c>
      <c r="I152" t="s">
        <v>15</v>
      </c>
      <c r="J152" t="s">
        <v>38</v>
      </c>
      <c r="K152">
        <v>4</v>
      </c>
      <c r="L152" t="str">
        <f>IF(AND(C152&gt; Sheet1!B158,K152&lt;3), "Misaligned","Aligned")</f>
        <v>Aligned</v>
      </c>
    </row>
    <row r="153" spans="1:12" x14ac:dyDescent="0.3">
      <c r="A153" t="s">
        <v>11</v>
      </c>
      <c r="B153">
        <v>25</v>
      </c>
      <c r="C153" t="s">
        <v>18</v>
      </c>
      <c r="D153" t="s">
        <v>32</v>
      </c>
      <c r="E153" t="s">
        <v>20</v>
      </c>
      <c r="F153" t="s">
        <v>39</v>
      </c>
      <c r="G153">
        <v>2019</v>
      </c>
      <c r="H153" s="1">
        <v>43549</v>
      </c>
      <c r="I153" t="s">
        <v>34</v>
      </c>
      <c r="J153" t="s">
        <v>23</v>
      </c>
      <c r="K153">
        <v>1</v>
      </c>
      <c r="L153" t="str">
        <f>IF(AND(C153&gt; Sheet1!B159,K153&lt;3), "Misaligned","Aligned")</f>
        <v>Misaligned</v>
      </c>
    </row>
    <row r="154" spans="1:12" x14ac:dyDescent="0.3">
      <c r="A154" t="s">
        <v>41</v>
      </c>
      <c r="B154">
        <v>40</v>
      </c>
      <c r="C154" t="s">
        <v>18</v>
      </c>
      <c r="D154" t="s">
        <v>32</v>
      </c>
      <c r="E154" t="s">
        <v>25</v>
      </c>
      <c r="F154" t="s">
        <v>39</v>
      </c>
      <c r="G154">
        <v>2020</v>
      </c>
      <c r="H154" s="1">
        <v>43881</v>
      </c>
      <c r="I154" t="s">
        <v>22</v>
      </c>
      <c r="J154" t="s">
        <v>27</v>
      </c>
      <c r="K154">
        <v>3</v>
      </c>
      <c r="L154" t="str">
        <f>IF(AND(C154&gt; Sheet1!B160,K154&lt;3), "Misaligned","Aligned")</f>
        <v>Aligned</v>
      </c>
    </row>
    <row r="155" spans="1:12" x14ac:dyDescent="0.3">
      <c r="A155" t="s">
        <v>24</v>
      </c>
      <c r="B155">
        <v>35</v>
      </c>
      <c r="C155">
        <v>70000</v>
      </c>
      <c r="D155" t="s">
        <v>12</v>
      </c>
      <c r="E155" t="s">
        <v>33</v>
      </c>
      <c r="F155" t="s">
        <v>36</v>
      </c>
      <c r="G155">
        <v>2020</v>
      </c>
      <c r="H155" s="1">
        <v>43845</v>
      </c>
      <c r="I155" t="s">
        <v>26</v>
      </c>
      <c r="J155" t="s">
        <v>30</v>
      </c>
      <c r="K155">
        <v>5</v>
      </c>
      <c r="L155" t="str">
        <f>IF(AND(C155&gt; Sheet1!B161,K155&lt;3), "Misaligned","Aligned")</f>
        <v>Aligned</v>
      </c>
    </row>
    <row r="156" spans="1:12" x14ac:dyDescent="0.3">
      <c r="A156" t="s">
        <v>44</v>
      </c>
      <c r="B156">
        <v>40</v>
      </c>
      <c r="C156" t="s">
        <v>18</v>
      </c>
      <c r="D156" t="s">
        <v>32</v>
      </c>
      <c r="E156" t="s">
        <v>29</v>
      </c>
      <c r="F156" t="s">
        <v>40</v>
      </c>
      <c r="G156">
        <v>2020</v>
      </c>
      <c r="H156" s="1">
        <v>43881</v>
      </c>
      <c r="I156" t="s">
        <v>22</v>
      </c>
      <c r="J156" t="s">
        <v>27</v>
      </c>
      <c r="K156">
        <v>3</v>
      </c>
      <c r="L156" t="str">
        <f>IF(AND(C156&gt; Sheet1!B162,K156&lt;3), "Misaligned","Aligned")</f>
        <v>Aligned</v>
      </c>
    </row>
    <row r="157" spans="1:12" x14ac:dyDescent="0.3">
      <c r="A157" t="s">
        <v>28</v>
      </c>
      <c r="B157">
        <v>35</v>
      </c>
      <c r="C157">
        <v>65000</v>
      </c>
      <c r="D157" t="s">
        <v>32</v>
      </c>
      <c r="E157" t="s">
        <v>25</v>
      </c>
      <c r="F157" t="s">
        <v>39</v>
      </c>
      <c r="G157">
        <v>2019</v>
      </c>
      <c r="H157" s="1">
        <v>43800</v>
      </c>
      <c r="I157" t="s">
        <v>37</v>
      </c>
      <c r="J157" t="s">
        <v>30</v>
      </c>
      <c r="K157">
        <v>5</v>
      </c>
      <c r="L157" t="str">
        <f>IF(AND(C157&gt; Sheet1!B163,K157&lt;3), "Misaligned","Aligned")</f>
        <v>Aligned</v>
      </c>
    </row>
    <row r="158" spans="1:12" x14ac:dyDescent="0.3">
      <c r="A158" t="s">
        <v>43</v>
      </c>
      <c r="B158" t="s">
        <v>18</v>
      </c>
      <c r="C158">
        <v>50000</v>
      </c>
      <c r="D158" t="s">
        <v>19</v>
      </c>
      <c r="E158" t="s">
        <v>29</v>
      </c>
      <c r="F158" t="s">
        <v>36</v>
      </c>
      <c r="G158">
        <v>2019</v>
      </c>
      <c r="H158" s="1">
        <v>43549</v>
      </c>
      <c r="I158" t="s">
        <v>34</v>
      </c>
      <c r="J158" t="s">
        <v>23</v>
      </c>
      <c r="K158">
        <v>1</v>
      </c>
      <c r="L158" t="str">
        <f>IF(AND(C158&gt; Sheet1!B164,K158&lt;3), "Misaligned","Aligned")</f>
        <v>Misaligned</v>
      </c>
    </row>
    <row r="159" spans="1:12" x14ac:dyDescent="0.3">
      <c r="A159" t="s">
        <v>35</v>
      </c>
      <c r="B159">
        <v>40</v>
      </c>
      <c r="C159">
        <v>55000</v>
      </c>
      <c r="D159" t="s">
        <v>19</v>
      </c>
      <c r="E159" t="s">
        <v>33</v>
      </c>
      <c r="F159" t="s">
        <v>36</v>
      </c>
      <c r="G159">
        <v>2019</v>
      </c>
      <c r="H159" s="1">
        <v>43549</v>
      </c>
      <c r="I159" t="s">
        <v>34</v>
      </c>
      <c r="J159" t="s">
        <v>23</v>
      </c>
      <c r="K159">
        <v>1</v>
      </c>
      <c r="L159" t="str">
        <f>IF(AND(C159&gt; Sheet1!B165,K159&lt;3), "Misaligned","Aligned")</f>
        <v>Misaligned</v>
      </c>
    </row>
    <row r="160" spans="1:12" x14ac:dyDescent="0.3">
      <c r="A160" t="s">
        <v>31</v>
      </c>
      <c r="B160" t="s">
        <v>18</v>
      </c>
      <c r="C160">
        <v>50000</v>
      </c>
      <c r="D160" t="s">
        <v>12</v>
      </c>
      <c r="E160" t="s">
        <v>20</v>
      </c>
      <c r="F160" t="s">
        <v>39</v>
      </c>
      <c r="G160">
        <v>2020</v>
      </c>
      <c r="H160" s="1">
        <v>43845</v>
      </c>
      <c r="I160" t="s">
        <v>26</v>
      </c>
      <c r="J160" t="s">
        <v>16</v>
      </c>
      <c r="K160">
        <v>2</v>
      </c>
      <c r="L160" t="str">
        <f>IF(AND(C160&gt; Sheet1!B166,K160&lt;3), "Misaligned","Aligned")</f>
        <v>Misaligned</v>
      </c>
    </row>
    <row r="161" spans="1:12" x14ac:dyDescent="0.3">
      <c r="A161" t="s">
        <v>24</v>
      </c>
      <c r="B161">
        <v>30</v>
      </c>
      <c r="C161">
        <v>55000</v>
      </c>
      <c r="D161" t="s">
        <v>12</v>
      </c>
      <c r="E161" t="s">
        <v>29</v>
      </c>
      <c r="F161" t="s">
        <v>14</v>
      </c>
      <c r="G161">
        <v>2019</v>
      </c>
      <c r="H161" s="1">
        <v>43549</v>
      </c>
      <c r="I161" t="s">
        <v>34</v>
      </c>
      <c r="J161" t="s">
        <v>16</v>
      </c>
      <c r="K161">
        <v>2</v>
      </c>
      <c r="L161" t="str">
        <f>IF(AND(C161&gt; Sheet1!B167,K161&lt;3), "Misaligned","Aligned")</f>
        <v>Misaligned</v>
      </c>
    </row>
    <row r="162" spans="1:12" x14ac:dyDescent="0.3">
      <c r="A162" t="s">
        <v>41</v>
      </c>
      <c r="B162">
        <v>30</v>
      </c>
      <c r="C162">
        <v>55000</v>
      </c>
      <c r="D162" t="s">
        <v>12</v>
      </c>
      <c r="E162" t="s">
        <v>13</v>
      </c>
      <c r="F162" t="s">
        <v>40</v>
      </c>
      <c r="G162">
        <v>2020</v>
      </c>
      <c r="H162" s="1">
        <v>43845</v>
      </c>
      <c r="I162" t="s">
        <v>26</v>
      </c>
      <c r="J162" t="s">
        <v>16</v>
      </c>
      <c r="K162">
        <v>2</v>
      </c>
      <c r="L162" t="str">
        <f>IF(AND(C162&gt; Sheet1!B168,K162&lt;3), "Misaligned","Aligned")</f>
        <v>Misaligned</v>
      </c>
    </row>
    <row r="163" spans="1:12" x14ac:dyDescent="0.3">
      <c r="A163" t="s">
        <v>24</v>
      </c>
      <c r="B163">
        <v>25</v>
      </c>
      <c r="C163">
        <v>50000</v>
      </c>
      <c r="D163" t="s">
        <v>19</v>
      </c>
      <c r="E163" t="s">
        <v>13</v>
      </c>
      <c r="F163" t="s">
        <v>40</v>
      </c>
      <c r="G163">
        <v>2020</v>
      </c>
      <c r="H163" s="1">
        <v>43845</v>
      </c>
      <c r="I163" t="s">
        <v>26</v>
      </c>
      <c r="J163" t="s">
        <v>23</v>
      </c>
      <c r="K163">
        <v>1</v>
      </c>
      <c r="L163" t="str">
        <f>IF(AND(C163&gt; Sheet1!B169,K163&lt;3), "Misaligned","Aligned")</f>
        <v>Misaligned</v>
      </c>
    </row>
    <row r="164" spans="1:12" x14ac:dyDescent="0.3">
      <c r="A164" t="s">
        <v>44</v>
      </c>
      <c r="B164">
        <v>40</v>
      </c>
      <c r="C164">
        <v>70000</v>
      </c>
      <c r="D164" t="s">
        <v>12</v>
      </c>
      <c r="E164" t="s">
        <v>25</v>
      </c>
      <c r="F164" t="s">
        <v>14</v>
      </c>
      <c r="G164">
        <v>2020</v>
      </c>
      <c r="H164" s="1">
        <v>43881</v>
      </c>
      <c r="I164" t="s">
        <v>22</v>
      </c>
      <c r="J164" t="s">
        <v>38</v>
      </c>
      <c r="K164">
        <v>4</v>
      </c>
      <c r="L164" t="str">
        <f>IF(AND(C164&gt; Sheet1!B170,K164&lt;3), "Misaligned","Aligned")</f>
        <v>Aligned</v>
      </c>
    </row>
    <row r="165" spans="1:12" x14ac:dyDescent="0.3">
      <c r="A165" t="s">
        <v>17</v>
      </c>
      <c r="B165" t="s">
        <v>18</v>
      </c>
      <c r="C165">
        <v>55000</v>
      </c>
      <c r="D165" t="s">
        <v>12</v>
      </c>
      <c r="E165" t="s">
        <v>33</v>
      </c>
      <c r="F165" t="s">
        <v>39</v>
      </c>
      <c r="G165">
        <v>2019</v>
      </c>
      <c r="H165" s="1">
        <v>43549</v>
      </c>
      <c r="I165" t="s">
        <v>34</v>
      </c>
      <c r="J165" t="s">
        <v>23</v>
      </c>
      <c r="K165">
        <v>1</v>
      </c>
      <c r="L165" t="str">
        <f>IF(AND(C165&gt; Sheet1!B171,K165&lt;3), "Misaligned","Aligned")</f>
        <v>Misaligned</v>
      </c>
    </row>
    <row r="166" spans="1:12" x14ac:dyDescent="0.3">
      <c r="A166" t="s">
        <v>43</v>
      </c>
      <c r="B166">
        <v>35</v>
      </c>
      <c r="C166">
        <v>50000</v>
      </c>
      <c r="D166" t="s">
        <v>12</v>
      </c>
      <c r="E166" t="s">
        <v>25</v>
      </c>
      <c r="F166" t="s">
        <v>40</v>
      </c>
      <c r="G166">
        <v>2020</v>
      </c>
      <c r="H166" s="1">
        <v>43845</v>
      </c>
      <c r="I166" t="s">
        <v>26</v>
      </c>
      <c r="J166" t="s">
        <v>27</v>
      </c>
      <c r="K166">
        <v>3</v>
      </c>
      <c r="L166" t="str">
        <f>IF(AND(C166&gt; Sheet1!B172,K166&lt;3), "Misaligned","Aligned")</f>
        <v>Aligned</v>
      </c>
    </row>
    <row r="167" spans="1:12" x14ac:dyDescent="0.3">
      <c r="A167" t="s">
        <v>43</v>
      </c>
      <c r="B167">
        <v>30</v>
      </c>
      <c r="C167">
        <v>55000</v>
      </c>
      <c r="D167" t="s">
        <v>19</v>
      </c>
      <c r="E167" t="s">
        <v>25</v>
      </c>
      <c r="F167" t="s">
        <v>39</v>
      </c>
      <c r="G167">
        <v>2020</v>
      </c>
      <c r="H167" s="1">
        <v>43881</v>
      </c>
      <c r="I167" t="s">
        <v>22</v>
      </c>
      <c r="J167" t="s">
        <v>23</v>
      </c>
      <c r="K167">
        <v>1</v>
      </c>
      <c r="L167" t="str">
        <f>IF(AND(C167&gt; Sheet1!B173,K167&lt;3), "Misaligned","Aligned")</f>
        <v>Misaligned</v>
      </c>
    </row>
    <row r="168" spans="1:12" x14ac:dyDescent="0.3">
      <c r="A168" t="s">
        <v>31</v>
      </c>
      <c r="B168">
        <v>30</v>
      </c>
      <c r="C168">
        <v>60000</v>
      </c>
      <c r="D168" t="s">
        <v>32</v>
      </c>
      <c r="E168" t="s">
        <v>25</v>
      </c>
      <c r="F168" t="s">
        <v>39</v>
      </c>
      <c r="G168">
        <v>2018</v>
      </c>
      <c r="H168" s="1">
        <v>43195</v>
      </c>
      <c r="I168" t="s">
        <v>15</v>
      </c>
      <c r="J168" t="s">
        <v>23</v>
      </c>
      <c r="K168">
        <v>1</v>
      </c>
      <c r="L168" t="str">
        <f>IF(AND(C168&gt; Sheet1!B174,K168&lt;3), "Misaligned","Aligned")</f>
        <v>Misaligned</v>
      </c>
    </row>
    <row r="169" spans="1:12" x14ac:dyDescent="0.3">
      <c r="A169" t="s">
        <v>17</v>
      </c>
      <c r="B169">
        <v>35</v>
      </c>
      <c r="C169">
        <v>70000</v>
      </c>
      <c r="D169" t="s">
        <v>12</v>
      </c>
      <c r="E169" t="s">
        <v>13</v>
      </c>
      <c r="F169" t="s">
        <v>36</v>
      </c>
      <c r="G169">
        <v>2020</v>
      </c>
      <c r="H169" s="1">
        <v>43881</v>
      </c>
      <c r="I169" t="s">
        <v>22</v>
      </c>
      <c r="J169" t="s">
        <v>30</v>
      </c>
      <c r="K169">
        <v>5</v>
      </c>
      <c r="L169" t="str">
        <f>IF(AND(C169&gt; Sheet1!B175,K169&lt;3), "Misaligned","Aligned")</f>
        <v>Aligned</v>
      </c>
    </row>
    <row r="170" spans="1:12" x14ac:dyDescent="0.3">
      <c r="A170" t="s">
        <v>11</v>
      </c>
      <c r="B170" t="s">
        <v>18</v>
      </c>
      <c r="C170">
        <v>65000</v>
      </c>
      <c r="D170" t="s">
        <v>32</v>
      </c>
      <c r="E170" t="s">
        <v>13</v>
      </c>
      <c r="F170" t="s">
        <v>14</v>
      </c>
      <c r="G170">
        <v>2020</v>
      </c>
      <c r="H170" s="1">
        <v>43881</v>
      </c>
      <c r="I170" t="s">
        <v>22</v>
      </c>
      <c r="J170" t="s">
        <v>30</v>
      </c>
      <c r="K170">
        <v>5</v>
      </c>
      <c r="L170" t="str">
        <f>IF(AND(C170&gt; Sheet1!B176,K170&lt;3), "Misaligned","Aligned")</f>
        <v>Aligned</v>
      </c>
    </row>
    <row r="171" spans="1:12" x14ac:dyDescent="0.3">
      <c r="A171" t="s">
        <v>42</v>
      </c>
      <c r="B171" t="s">
        <v>18</v>
      </c>
      <c r="C171">
        <v>55000</v>
      </c>
      <c r="D171" t="s">
        <v>12</v>
      </c>
      <c r="E171" t="s">
        <v>25</v>
      </c>
      <c r="F171" t="s">
        <v>39</v>
      </c>
      <c r="G171">
        <v>2020</v>
      </c>
      <c r="H171" s="1">
        <v>43845</v>
      </c>
      <c r="I171" t="s">
        <v>26</v>
      </c>
      <c r="J171" t="s">
        <v>30</v>
      </c>
      <c r="K171">
        <v>5</v>
      </c>
      <c r="L171" t="str">
        <f>IF(AND(C171&gt; Sheet1!B177,K171&lt;3), "Misaligned","Aligned")</f>
        <v>Aligned</v>
      </c>
    </row>
    <row r="172" spans="1:12" x14ac:dyDescent="0.3">
      <c r="A172" t="s">
        <v>35</v>
      </c>
      <c r="B172">
        <v>40</v>
      </c>
      <c r="C172">
        <v>60000</v>
      </c>
      <c r="D172" t="s">
        <v>32</v>
      </c>
      <c r="E172" t="s">
        <v>13</v>
      </c>
      <c r="F172" t="s">
        <v>21</v>
      </c>
      <c r="G172">
        <v>2019</v>
      </c>
      <c r="H172" s="1">
        <v>43800</v>
      </c>
      <c r="I172" t="s">
        <v>37</v>
      </c>
      <c r="J172" t="s">
        <v>23</v>
      </c>
      <c r="K172">
        <v>1</v>
      </c>
      <c r="L172" t="str">
        <f>IF(AND(C172&gt; Sheet1!B178,K172&lt;3), "Misaligned","Aligned")</f>
        <v>Misaligned</v>
      </c>
    </row>
    <row r="173" spans="1:12" x14ac:dyDescent="0.3">
      <c r="A173" t="s">
        <v>43</v>
      </c>
      <c r="B173">
        <v>40</v>
      </c>
      <c r="C173">
        <v>65000</v>
      </c>
      <c r="D173" t="s">
        <v>19</v>
      </c>
      <c r="E173" t="s">
        <v>33</v>
      </c>
      <c r="F173" t="s">
        <v>14</v>
      </c>
      <c r="G173">
        <v>2019</v>
      </c>
      <c r="H173" s="1">
        <v>43800</v>
      </c>
      <c r="I173" t="s">
        <v>37</v>
      </c>
      <c r="J173" t="s">
        <v>38</v>
      </c>
      <c r="K173">
        <v>4</v>
      </c>
      <c r="L173" t="str">
        <f>IF(AND(C173&gt; Sheet1!B179,K173&lt;3), "Misaligned","Aligned")</f>
        <v>Aligned</v>
      </c>
    </row>
    <row r="174" spans="1:12" x14ac:dyDescent="0.3">
      <c r="A174" t="s">
        <v>28</v>
      </c>
      <c r="B174">
        <v>50</v>
      </c>
      <c r="C174">
        <v>65000</v>
      </c>
      <c r="D174" t="s">
        <v>19</v>
      </c>
      <c r="E174" t="s">
        <v>25</v>
      </c>
      <c r="F174" t="s">
        <v>40</v>
      </c>
      <c r="G174">
        <v>2019</v>
      </c>
      <c r="H174" s="1">
        <v>43800</v>
      </c>
      <c r="I174" t="s">
        <v>37</v>
      </c>
      <c r="J174" t="s">
        <v>27</v>
      </c>
      <c r="K174">
        <v>3</v>
      </c>
      <c r="L174" t="str">
        <f>IF(AND(C174&gt; Sheet1!B180,K174&lt;3), "Misaligned","Aligned")</f>
        <v>Aligned</v>
      </c>
    </row>
    <row r="175" spans="1:12" x14ac:dyDescent="0.3">
      <c r="A175" t="s">
        <v>43</v>
      </c>
      <c r="B175">
        <v>50</v>
      </c>
      <c r="C175">
        <v>55000</v>
      </c>
      <c r="D175" t="s">
        <v>12</v>
      </c>
      <c r="E175" t="s">
        <v>13</v>
      </c>
      <c r="F175" t="s">
        <v>36</v>
      </c>
      <c r="G175">
        <v>2020</v>
      </c>
      <c r="H175" s="1">
        <v>43881</v>
      </c>
      <c r="I175" t="s">
        <v>22</v>
      </c>
      <c r="J175" t="s">
        <v>27</v>
      </c>
      <c r="K175">
        <v>3</v>
      </c>
      <c r="L175" t="str">
        <f>IF(AND(C175&gt; Sheet1!B181,K175&lt;3), "Misaligned","Aligned")</f>
        <v>Aligned</v>
      </c>
    </row>
    <row r="176" spans="1:12" x14ac:dyDescent="0.3">
      <c r="A176" t="s">
        <v>24</v>
      </c>
      <c r="B176">
        <v>25</v>
      </c>
      <c r="C176">
        <v>50000</v>
      </c>
      <c r="D176" t="s">
        <v>32</v>
      </c>
      <c r="E176" t="s">
        <v>29</v>
      </c>
      <c r="F176" t="s">
        <v>40</v>
      </c>
      <c r="G176">
        <v>2020</v>
      </c>
      <c r="H176" s="1">
        <v>43845</v>
      </c>
      <c r="I176" t="s">
        <v>26</v>
      </c>
      <c r="J176" t="s">
        <v>38</v>
      </c>
      <c r="K176">
        <v>4</v>
      </c>
      <c r="L176" t="str">
        <f>IF(AND(C176&gt; Sheet1!B182,K176&lt;3), "Misaligned","Aligned")</f>
        <v>Aligned</v>
      </c>
    </row>
    <row r="177" spans="1:12" x14ac:dyDescent="0.3">
      <c r="A177" t="s">
        <v>43</v>
      </c>
      <c r="B177">
        <v>30</v>
      </c>
      <c r="C177">
        <v>55000</v>
      </c>
      <c r="D177" t="s">
        <v>19</v>
      </c>
      <c r="E177" t="s">
        <v>25</v>
      </c>
      <c r="F177" t="s">
        <v>40</v>
      </c>
      <c r="G177">
        <v>2019</v>
      </c>
      <c r="H177" s="1">
        <v>43549</v>
      </c>
      <c r="I177" t="s">
        <v>34</v>
      </c>
      <c r="J177" t="s">
        <v>38</v>
      </c>
      <c r="K177">
        <v>4</v>
      </c>
      <c r="L177" t="str">
        <f>IF(AND(C177&gt; Sheet1!B183,K177&lt;3), "Misaligned","Aligned")</f>
        <v>Aligned</v>
      </c>
    </row>
    <row r="178" spans="1:12" x14ac:dyDescent="0.3">
      <c r="A178" t="s">
        <v>43</v>
      </c>
      <c r="B178">
        <v>40</v>
      </c>
      <c r="C178">
        <v>60000</v>
      </c>
      <c r="D178" t="s">
        <v>12</v>
      </c>
      <c r="E178" t="s">
        <v>25</v>
      </c>
      <c r="F178" t="s">
        <v>14</v>
      </c>
      <c r="G178">
        <v>2020</v>
      </c>
      <c r="H178" s="1">
        <v>43881</v>
      </c>
      <c r="I178" t="s">
        <v>22</v>
      </c>
      <c r="J178" t="s">
        <v>27</v>
      </c>
      <c r="K178">
        <v>3</v>
      </c>
      <c r="L178" t="str">
        <f>IF(AND(C178&gt; Sheet1!B184,K178&lt;3), "Misaligned","Aligned")</f>
        <v>Aligned</v>
      </c>
    </row>
    <row r="179" spans="1:12" x14ac:dyDescent="0.3">
      <c r="A179" t="s">
        <v>42</v>
      </c>
      <c r="B179" t="s">
        <v>18</v>
      </c>
      <c r="C179">
        <v>65000</v>
      </c>
      <c r="D179" t="s">
        <v>12</v>
      </c>
      <c r="E179" t="s">
        <v>33</v>
      </c>
      <c r="F179" t="s">
        <v>40</v>
      </c>
      <c r="G179">
        <v>2020</v>
      </c>
      <c r="H179" s="1">
        <v>43881</v>
      </c>
      <c r="I179" t="s">
        <v>22</v>
      </c>
      <c r="J179" t="s">
        <v>16</v>
      </c>
      <c r="K179">
        <v>2</v>
      </c>
      <c r="L179" t="str">
        <f>IF(AND(C179&gt; Sheet1!B185,K179&lt;3), "Misaligned","Aligned")</f>
        <v>Misaligned</v>
      </c>
    </row>
    <row r="180" spans="1:12" x14ac:dyDescent="0.3">
      <c r="A180" t="s">
        <v>42</v>
      </c>
      <c r="B180">
        <v>35</v>
      </c>
      <c r="C180">
        <v>55000</v>
      </c>
      <c r="D180" t="s">
        <v>19</v>
      </c>
      <c r="E180" t="s">
        <v>20</v>
      </c>
      <c r="F180" t="s">
        <v>39</v>
      </c>
      <c r="G180">
        <v>2020</v>
      </c>
      <c r="H180" s="1">
        <v>43845</v>
      </c>
      <c r="I180" t="s">
        <v>26</v>
      </c>
      <c r="J180" t="s">
        <v>30</v>
      </c>
      <c r="K180">
        <v>5</v>
      </c>
      <c r="L180" t="str">
        <f>IF(AND(C180&gt; Sheet1!B186,K180&lt;3), "Misaligned","Aligned")</f>
        <v>Aligned</v>
      </c>
    </row>
    <row r="181" spans="1:12" x14ac:dyDescent="0.3">
      <c r="A181" t="s">
        <v>41</v>
      </c>
      <c r="B181" t="s">
        <v>18</v>
      </c>
      <c r="C181">
        <v>50000</v>
      </c>
      <c r="D181" t="s">
        <v>19</v>
      </c>
      <c r="E181" t="s">
        <v>20</v>
      </c>
      <c r="F181" t="s">
        <v>40</v>
      </c>
      <c r="G181">
        <v>2018</v>
      </c>
      <c r="H181" s="1">
        <v>43195</v>
      </c>
      <c r="I181" t="s">
        <v>15</v>
      </c>
      <c r="J181" t="s">
        <v>30</v>
      </c>
      <c r="K181">
        <v>5</v>
      </c>
      <c r="L181" t="str">
        <f>IF(AND(C181&gt; Sheet1!B187,K181&lt;3), "Misaligned","Aligned")</f>
        <v>Aligned</v>
      </c>
    </row>
    <row r="182" spans="1:12" x14ac:dyDescent="0.3">
      <c r="A182" t="s">
        <v>11</v>
      </c>
      <c r="B182">
        <v>30</v>
      </c>
      <c r="C182">
        <v>55000</v>
      </c>
      <c r="D182" t="s">
        <v>12</v>
      </c>
      <c r="E182" t="s">
        <v>33</v>
      </c>
      <c r="F182" t="s">
        <v>36</v>
      </c>
      <c r="G182">
        <v>2020</v>
      </c>
      <c r="H182" s="1">
        <v>43881</v>
      </c>
      <c r="I182" t="s">
        <v>22</v>
      </c>
      <c r="J182" t="s">
        <v>27</v>
      </c>
      <c r="K182">
        <v>3</v>
      </c>
      <c r="L182" t="str">
        <f>IF(AND(C182&gt; Sheet1!B188,K182&lt;3), "Misaligned","Aligned")</f>
        <v>Aligned</v>
      </c>
    </row>
    <row r="183" spans="1:12" x14ac:dyDescent="0.3">
      <c r="A183" t="s">
        <v>28</v>
      </c>
      <c r="B183">
        <v>50</v>
      </c>
      <c r="C183">
        <v>70000</v>
      </c>
      <c r="D183" t="s">
        <v>32</v>
      </c>
      <c r="E183" t="s">
        <v>33</v>
      </c>
      <c r="F183" t="s">
        <v>36</v>
      </c>
      <c r="G183">
        <v>2018</v>
      </c>
      <c r="H183" s="1">
        <v>43195</v>
      </c>
      <c r="I183" t="s">
        <v>15</v>
      </c>
      <c r="J183" t="s">
        <v>38</v>
      </c>
      <c r="K183">
        <v>4</v>
      </c>
      <c r="L183" t="str">
        <f>IF(AND(C183&gt; Sheet1!B189,K183&lt;3), "Misaligned","Aligned")</f>
        <v>Aligned</v>
      </c>
    </row>
    <row r="184" spans="1:12" x14ac:dyDescent="0.3">
      <c r="A184" t="s">
        <v>43</v>
      </c>
      <c r="B184" t="s">
        <v>18</v>
      </c>
      <c r="C184">
        <v>50000</v>
      </c>
      <c r="D184" t="s">
        <v>32</v>
      </c>
      <c r="E184" t="s">
        <v>33</v>
      </c>
      <c r="F184" t="s">
        <v>21</v>
      </c>
      <c r="G184">
        <v>2018</v>
      </c>
      <c r="H184" s="1">
        <v>43195</v>
      </c>
      <c r="I184" t="s">
        <v>15</v>
      </c>
      <c r="J184" t="s">
        <v>16</v>
      </c>
      <c r="K184">
        <v>2</v>
      </c>
      <c r="L184" t="str">
        <f>IF(AND(C184&gt; Sheet1!B190,K184&lt;3), "Misaligned","Aligned")</f>
        <v>Misaligned</v>
      </c>
    </row>
    <row r="185" spans="1:12" x14ac:dyDescent="0.3">
      <c r="A185" t="s">
        <v>43</v>
      </c>
      <c r="B185">
        <v>25</v>
      </c>
      <c r="C185">
        <v>60000</v>
      </c>
      <c r="D185" t="s">
        <v>32</v>
      </c>
      <c r="E185" t="s">
        <v>20</v>
      </c>
      <c r="F185" t="s">
        <v>36</v>
      </c>
      <c r="G185">
        <v>2019</v>
      </c>
      <c r="H185" s="1">
        <v>43800</v>
      </c>
      <c r="I185" t="s">
        <v>37</v>
      </c>
      <c r="J185" t="s">
        <v>27</v>
      </c>
      <c r="K185">
        <v>3</v>
      </c>
      <c r="L185" t="str">
        <f>IF(AND(C185&gt; Sheet1!B191,K185&lt;3), "Misaligned","Aligned")</f>
        <v>Aligned</v>
      </c>
    </row>
    <row r="186" spans="1:12" x14ac:dyDescent="0.3">
      <c r="A186" t="s">
        <v>35</v>
      </c>
      <c r="B186">
        <v>30</v>
      </c>
      <c r="C186">
        <v>65000</v>
      </c>
      <c r="D186" t="s">
        <v>12</v>
      </c>
      <c r="E186" t="s">
        <v>33</v>
      </c>
      <c r="F186" t="s">
        <v>40</v>
      </c>
      <c r="G186">
        <v>2020</v>
      </c>
      <c r="H186" s="1">
        <v>43845</v>
      </c>
      <c r="I186" t="s">
        <v>26</v>
      </c>
      <c r="J186" t="s">
        <v>30</v>
      </c>
      <c r="K186">
        <v>5</v>
      </c>
      <c r="L186" t="str">
        <f>IF(AND(C186&gt; Sheet1!B192,K186&lt;3), "Misaligned","Aligned")</f>
        <v>Aligned</v>
      </c>
    </row>
    <row r="187" spans="1:12" x14ac:dyDescent="0.3">
      <c r="A187" t="s">
        <v>42</v>
      </c>
      <c r="B187">
        <v>50</v>
      </c>
      <c r="C187">
        <v>55000</v>
      </c>
      <c r="D187" t="s">
        <v>19</v>
      </c>
      <c r="E187" t="s">
        <v>13</v>
      </c>
      <c r="F187" t="s">
        <v>36</v>
      </c>
      <c r="G187">
        <v>2018</v>
      </c>
      <c r="H187" s="1">
        <v>43195</v>
      </c>
      <c r="I187" t="s">
        <v>15</v>
      </c>
      <c r="J187" t="s">
        <v>23</v>
      </c>
      <c r="K187">
        <v>1</v>
      </c>
      <c r="L187" t="str">
        <f>IF(AND(C187&gt; Sheet1!B193,K187&lt;3), "Misaligned","Aligned")</f>
        <v>Misaligned</v>
      </c>
    </row>
    <row r="188" spans="1:12" x14ac:dyDescent="0.3">
      <c r="A188" t="s">
        <v>28</v>
      </c>
      <c r="B188">
        <v>35</v>
      </c>
      <c r="C188">
        <v>50000</v>
      </c>
      <c r="D188" t="s">
        <v>12</v>
      </c>
      <c r="E188" t="s">
        <v>25</v>
      </c>
      <c r="F188" t="s">
        <v>14</v>
      </c>
      <c r="G188">
        <v>2020</v>
      </c>
      <c r="H188" s="1">
        <v>43845</v>
      </c>
      <c r="I188" t="s">
        <v>26</v>
      </c>
      <c r="J188" t="s">
        <v>38</v>
      </c>
      <c r="K188">
        <v>4</v>
      </c>
      <c r="L188" t="str">
        <f>IF(AND(C188&gt; Sheet1!B194,K188&lt;3), "Misaligned","Aligned")</f>
        <v>Aligned</v>
      </c>
    </row>
    <row r="189" spans="1:12" x14ac:dyDescent="0.3">
      <c r="A189" t="s">
        <v>31</v>
      </c>
      <c r="B189">
        <v>50</v>
      </c>
      <c r="C189">
        <v>70000</v>
      </c>
      <c r="D189" t="s">
        <v>19</v>
      </c>
      <c r="E189" t="s">
        <v>25</v>
      </c>
      <c r="F189" t="s">
        <v>36</v>
      </c>
      <c r="G189">
        <v>2019</v>
      </c>
      <c r="H189" s="1">
        <v>43800</v>
      </c>
      <c r="I189" t="s">
        <v>37</v>
      </c>
      <c r="J189" t="s">
        <v>23</v>
      </c>
      <c r="K189">
        <v>1</v>
      </c>
      <c r="L189" t="str">
        <f>IF(AND(C189&gt; Sheet1!B195,K189&lt;3), "Misaligned","Aligned")</f>
        <v>Misaligned</v>
      </c>
    </row>
    <row r="190" spans="1:12" x14ac:dyDescent="0.3">
      <c r="A190" t="s">
        <v>41</v>
      </c>
      <c r="B190">
        <v>25</v>
      </c>
      <c r="C190">
        <v>50000</v>
      </c>
      <c r="D190" t="s">
        <v>32</v>
      </c>
      <c r="E190" t="s">
        <v>29</v>
      </c>
      <c r="F190" t="s">
        <v>39</v>
      </c>
      <c r="G190">
        <v>2020</v>
      </c>
      <c r="H190" s="1">
        <v>43845</v>
      </c>
      <c r="I190" t="s">
        <v>26</v>
      </c>
      <c r="J190" t="s">
        <v>27</v>
      </c>
      <c r="K190">
        <v>3</v>
      </c>
      <c r="L190" t="str">
        <f>IF(AND(C190&gt; Sheet1!B196,K190&lt;3), "Misaligned","Aligned")</f>
        <v>Aligned</v>
      </c>
    </row>
    <row r="191" spans="1:12" x14ac:dyDescent="0.3">
      <c r="A191" t="s">
        <v>11</v>
      </c>
      <c r="B191">
        <v>30</v>
      </c>
      <c r="C191" t="s">
        <v>18</v>
      </c>
      <c r="D191" t="s">
        <v>32</v>
      </c>
      <c r="E191" t="s">
        <v>29</v>
      </c>
      <c r="F191" t="s">
        <v>14</v>
      </c>
      <c r="G191">
        <v>2020</v>
      </c>
      <c r="H191" s="1">
        <v>43881</v>
      </c>
      <c r="I191" t="s">
        <v>22</v>
      </c>
      <c r="J191" t="s">
        <v>30</v>
      </c>
      <c r="K191">
        <v>5</v>
      </c>
      <c r="L191" t="str">
        <f>IF(AND(C191&gt; Sheet1!B197,K191&lt;3), "Misaligned","Aligned")</f>
        <v>Aligned</v>
      </c>
    </row>
    <row r="192" spans="1:12" x14ac:dyDescent="0.3">
      <c r="A192" t="s">
        <v>17</v>
      </c>
      <c r="B192">
        <v>35</v>
      </c>
      <c r="C192">
        <v>70000</v>
      </c>
      <c r="D192" t="s">
        <v>19</v>
      </c>
      <c r="E192" t="s">
        <v>25</v>
      </c>
      <c r="F192" t="s">
        <v>21</v>
      </c>
      <c r="G192">
        <v>2018</v>
      </c>
      <c r="H192" s="1">
        <v>43195</v>
      </c>
      <c r="I192" t="s">
        <v>15</v>
      </c>
      <c r="J192" t="s">
        <v>16</v>
      </c>
      <c r="K192">
        <v>2</v>
      </c>
      <c r="L192" t="str">
        <f>IF(AND(C192&gt; Sheet1!B198,K192&lt;3), "Misaligned","Aligned")</f>
        <v>Misaligned</v>
      </c>
    </row>
    <row r="193" spans="1:12" x14ac:dyDescent="0.3">
      <c r="A193" t="s">
        <v>11</v>
      </c>
      <c r="B193">
        <v>25</v>
      </c>
      <c r="C193">
        <v>60000</v>
      </c>
      <c r="D193" t="s">
        <v>19</v>
      </c>
      <c r="E193" t="s">
        <v>13</v>
      </c>
      <c r="F193" t="s">
        <v>39</v>
      </c>
      <c r="G193">
        <v>2020</v>
      </c>
      <c r="H193" s="1">
        <v>43845</v>
      </c>
      <c r="I193" t="s">
        <v>26</v>
      </c>
      <c r="J193" t="s">
        <v>23</v>
      </c>
      <c r="K193">
        <v>1</v>
      </c>
      <c r="L193" t="str">
        <f>IF(AND(C193&gt; Sheet1!B199,K193&lt;3), "Misaligned","Aligned")</f>
        <v>Misaligned</v>
      </c>
    </row>
    <row r="194" spans="1:12" x14ac:dyDescent="0.3">
      <c r="A194" t="s">
        <v>24</v>
      </c>
      <c r="B194">
        <v>50</v>
      </c>
      <c r="C194">
        <v>65000</v>
      </c>
      <c r="D194" t="s">
        <v>12</v>
      </c>
      <c r="E194" t="s">
        <v>20</v>
      </c>
      <c r="F194" t="s">
        <v>40</v>
      </c>
      <c r="G194">
        <v>2019</v>
      </c>
      <c r="H194" s="1">
        <v>43549</v>
      </c>
      <c r="I194" t="s">
        <v>34</v>
      </c>
      <c r="J194" t="s">
        <v>16</v>
      </c>
      <c r="K194">
        <v>2</v>
      </c>
      <c r="L194" t="str">
        <f>IF(AND(C194&gt; Sheet1!B200,K194&lt;3), "Misaligned","Aligned")</f>
        <v>Misaligned</v>
      </c>
    </row>
    <row r="195" spans="1:12" x14ac:dyDescent="0.3">
      <c r="A195" t="s">
        <v>43</v>
      </c>
      <c r="B195">
        <v>25</v>
      </c>
      <c r="C195">
        <v>60000</v>
      </c>
      <c r="D195" t="s">
        <v>32</v>
      </c>
      <c r="E195" t="s">
        <v>20</v>
      </c>
      <c r="F195" t="s">
        <v>40</v>
      </c>
      <c r="G195">
        <v>2020</v>
      </c>
      <c r="H195" s="1">
        <v>43845</v>
      </c>
      <c r="I195" t="s">
        <v>26</v>
      </c>
      <c r="J195" t="s">
        <v>30</v>
      </c>
      <c r="K195">
        <v>5</v>
      </c>
      <c r="L195" t="str">
        <f>IF(AND(C195&gt; Sheet1!B201,K195&lt;3), "Misaligned","Aligned")</f>
        <v>Aligned</v>
      </c>
    </row>
    <row r="196" spans="1:12" x14ac:dyDescent="0.3">
      <c r="A196" t="s">
        <v>41</v>
      </c>
      <c r="B196">
        <v>30</v>
      </c>
      <c r="C196">
        <v>55000</v>
      </c>
      <c r="D196" t="s">
        <v>12</v>
      </c>
      <c r="E196" t="s">
        <v>13</v>
      </c>
      <c r="F196" t="s">
        <v>40</v>
      </c>
      <c r="G196">
        <v>2018</v>
      </c>
      <c r="H196" s="1">
        <v>43195</v>
      </c>
      <c r="I196" t="s">
        <v>15</v>
      </c>
      <c r="J196" t="s">
        <v>23</v>
      </c>
      <c r="K196">
        <v>1</v>
      </c>
      <c r="L196" t="str">
        <f>IF(AND(C196&gt; Sheet1!B202,K196&lt;3), "Misaligned","Aligned")</f>
        <v>Misaligned</v>
      </c>
    </row>
    <row r="197" spans="1:12" x14ac:dyDescent="0.3">
      <c r="A197" t="s">
        <v>24</v>
      </c>
      <c r="B197">
        <v>40</v>
      </c>
      <c r="C197">
        <v>50000</v>
      </c>
      <c r="D197" t="s">
        <v>12</v>
      </c>
      <c r="E197" t="s">
        <v>20</v>
      </c>
      <c r="F197" t="s">
        <v>39</v>
      </c>
      <c r="G197">
        <v>2019</v>
      </c>
      <c r="H197" s="1">
        <v>43800</v>
      </c>
      <c r="I197" t="s">
        <v>37</v>
      </c>
      <c r="J197" t="s">
        <v>16</v>
      </c>
      <c r="K197">
        <v>2</v>
      </c>
      <c r="L197" t="str">
        <f>IF(AND(C197&gt; Sheet1!B203,K197&lt;3), "Misaligned","Aligned")</f>
        <v>Misaligned</v>
      </c>
    </row>
    <row r="198" spans="1:12" x14ac:dyDescent="0.3">
      <c r="A198" t="s">
        <v>28</v>
      </c>
      <c r="B198">
        <v>25</v>
      </c>
      <c r="C198" t="s">
        <v>18</v>
      </c>
      <c r="D198" t="s">
        <v>12</v>
      </c>
      <c r="E198" t="s">
        <v>33</v>
      </c>
      <c r="F198" t="s">
        <v>39</v>
      </c>
      <c r="G198">
        <v>2019</v>
      </c>
      <c r="H198" s="1">
        <v>43800</v>
      </c>
      <c r="I198" t="s">
        <v>37</v>
      </c>
      <c r="J198" t="s">
        <v>16</v>
      </c>
      <c r="K198">
        <v>2</v>
      </c>
      <c r="L198" t="str">
        <f>IF(AND(C198&gt; Sheet1!B204,K198&lt;3), "Misaligned","Aligned")</f>
        <v>Misaligned</v>
      </c>
    </row>
    <row r="199" spans="1:12" x14ac:dyDescent="0.3">
      <c r="A199" t="s">
        <v>17</v>
      </c>
      <c r="B199">
        <v>25</v>
      </c>
      <c r="C199">
        <v>70000</v>
      </c>
      <c r="D199" t="s">
        <v>32</v>
      </c>
      <c r="E199" t="s">
        <v>25</v>
      </c>
      <c r="F199" t="s">
        <v>39</v>
      </c>
      <c r="G199">
        <v>2018</v>
      </c>
      <c r="H199" s="1">
        <v>43195</v>
      </c>
      <c r="I199" t="s">
        <v>15</v>
      </c>
      <c r="J199" t="s">
        <v>23</v>
      </c>
      <c r="K199">
        <v>1</v>
      </c>
      <c r="L199" t="str">
        <f>IF(AND(C199&gt; Sheet1!B205,K199&lt;3), "Misaligned","Aligned")</f>
        <v>Misaligned</v>
      </c>
    </row>
    <row r="200" spans="1:12" x14ac:dyDescent="0.3">
      <c r="A200" t="s">
        <v>42</v>
      </c>
      <c r="B200">
        <v>50</v>
      </c>
      <c r="C200">
        <v>70000</v>
      </c>
      <c r="D200" t="s">
        <v>12</v>
      </c>
      <c r="E200" t="s">
        <v>25</v>
      </c>
      <c r="F200" t="s">
        <v>14</v>
      </c>
      <c r="G200">
        <v>2020</v>
      </c>
      <c r="H200" s="1">
        <v>43881</v>
      </c>
      <c r="I200" t="s">
        <v>22</v>
      </c>
      <c r="J200" t="s">
        <v>30</v>
      </c>
      <c r="K200">
        <v>5</v>
      </c>
      <c r="L200" t="str">
        <f>IF(AND(C200&gt; Sheet1!B206,K200&lt;3), "Misaligned","Aligned")</f>
        <v>Aligned</v>
      </c>
    </row>
    <row r="201" spans="1:12" x14ac:dyDescent="0.3">
      <c r="A201" t="s">
        <v>41</v>
      </c>
      <c r="B201">
        <v>50</v>
      </c>
      <c r="C201">
        <v>50000</v>
      </c>
      <c r="D201" t="s">
        <v>12</v>
      </c>
      <c r="E201" t="s">
        <v>13</v>
      </c>
      <c r="F201" t="s">
        <v>14</v>
      </c>
      <c r="G201">
        <v>2020</v>
      </c>
      <c r="H201" s="1">
        <v>43881</v>
      </c>
      <c r="I201" t="s">
        <v>22</v>
      </c>
      <c r="J201" t="s">
        <v>16</v>
      </c>
      <c r="K201">
        <v>2</v>
      </c>
      <c r="L201" t="str">
        <f>IF(AND(C201&gt; Sheet1!B207,K201&lt;3), "Misaligned","Aligned")</f>
        <v>Misaligned</v>
      </c>
    </row>
    <row r="202" spans="1:12" x14ac:dyDescent="0.3">
      <c r="A202" t="s">
        <v>41</v>
      </c>
      <c r="B202">
        <v>35</v>
      </c>
      <c r="C202" t="s">
        <v>18</v>
      </c>
      <c r="D202" t="s">
        <v>12</v>
      </c>
      <c r="E202" t="s">
        <v>20</v>
      </c>
      <c r="F202" t="s">
        <v>40</v>
      </c>
      <c r="G202">
        <v>2019</v>
      </c>
      <c r="H202" s="1">
        <v>43800</v>
      </c>
      <c r="I202" t="s">
        <v>37</v>
      </c>
      <c r="J202" t="s">
        <v>27</v>
      </c>
      <c r="K202">
        <v>3</v>
      </c>
      <c r="L202" t="str">
        <f>IF(AND(C202&gt; Sheet1!B208,K202&lt;3), "Misaligned","Aligned")</f>
        <v>Aligned</v>
      </c>
    </row>
    <row r="203" spans="1:12" x14ac:dyDescent="0.3">
      <c r="A203" t="s">
        <v>43</v>
      </c>
      <c r="B203">
        <v>50</v>
      </c>
      <c r="C203">
        <v>50000</v>
      </c>
      <c r="D203" t="s">
        <v>12</v>
      </c>
      <c r="E203" t="s">
        <v>29</v>
      </c>
      <c r="F203" t="s">
        <v>36</v>
      </c>
      <c r="G203">
        <v>2019</v>
      </c>
      <c r="H203" s="1">
        <v>43800</v>
      </c>
      <c r="I203" t="s">
        <v>37</v>
      </c>
      <c r="J203" t="s">
        <v>23</v>
      </c>
      <c r="K203">
        <v>1</v>
      </c>
      <c r="L203" t="str">
        <f>IF(AND(C203&gt; Sheet1!B209,K203&lt;3), "Misaligned","Aligned")</f>
        <v>Misaligned</v>
      </c>
    </row>
    <row r="204" spans="1:12" x14ac:dyDescent="0.3">
      <c r="A204" t="s">
        <v>44</v>
      </c>
      <c r="B204" t="s">
        <v>18</v>
      </c>
      <c r="C204">
        <v>55000</v>
      </c>
      <c r="D204" t="s">
        <v>12</v>
      </c>
      <c r="E204" t="s">
        <v>29</v>
      </c>
      <c r="F204" t="s">
        <v>40</v>
      </c>
      <c r="G204">
        <v>2018</v>
      </c>
      <c r="H204" s="1">
        <v>43195</v>
      </c>
      <c r="I204" t="s">
        <v>15</v>
      </c>
      <c r="J204" t="s">
        <v>38</v>
      </c>
      <c r="K204">
        <v>4</v>
      </c>
      <c r="L204" t="str">
        <f>IF(AND(C204&gt; Sheet1!B210,K204&lt;3), "Misaligned","Aligned")</f>
        <v>Aligned</v>
      </c>
    </row>
    <row r="205" spans="1:12" x14ac:dyDescent="0.3">
      <c r="A205" t="s">
        <v>41</v>
      </c>
      <c r="B205">
        <v>30</v>
      </c>
      <c r="C205">
        <v>60000</v>
      </c>
      <c r="D205" t="s">
        <v>12</v>
      </c>
      <c r="E205" t="s">
        <v>20</v>
      </c>
      <c r="F205" t="s">
        <v>21</v>
      </c>
      <c r="G205">
        <v>2020</v>
      </c>
      <c r="H205" s="1">
        <v>43881</v>
      </c>
      <c r="I205" t="s">
        <v>22</v>
      </c>
      <c r="J205" t="s">
        <v>38</v>
      </c>
      <c r="K205">
        <v>4</v>
      </c>
      <c r="L205" t="str">
        <f>IF(AND(C205&gt; Sheet1!B211,K205&lt;3), "Misaligned","Aligned")</f>
        <v>Aligned</v>
      </c>
    </row>
    <row r="206" spans="1:12" x14ac:dyDescent="0.3">
      <c r="A206" t="s">
        <v>35</v>
      </c>
      <c r="B206">
        <v>30</v>
      </c>
      <c r="C206">
        <v>70000</v>
      </c>
      <c r="D206" t="s">
        <v>32</v>
      </c>
      <c r="E206" t="s">
        <v>29</v>
      </c>
      <c r="F206" t="s">
        <v>14</v>
      </c>
      <c r="G206">
        <v>2019</v>
      </c>
      <c r="H206" s="1">
        <v>43800</v>
      </c>
      <c r="I206" t="s">
        <v>37</v>
      </c>
      <c r="J206" t="s">
        <v>30</v>
      </c>
      <c r="K206">
        <v>5</v>
      </c>
      <c r="L206" t="str">
        <f>IF(AND(C206&gt; Sheet1!B212,K206&lt;3), "Misaligned","Aligned")</f>
        <v>Aligned</v>
      </c>
    </row>
    <row r="207" spans="1:12" x14ac:dyDescent="0.3">
      <c r="A207" t="s">
        <v>17</v>
      </c>
      <c r="B207">
        <v>40</v>
      </c>
      <c r="C207">
        <v>55000</v>
      </c>
      <c r="D207" t="s">
        <v>12</v>
      </c>
      <c r="E207" t="s">
        <v>13</v>
      </c>
      <c r="F207" t="s">
        <v>39</v>
      </c>
      <c r="G207">
        <v>2020</v>
      </c>
      <c r="H207" s="1">
        <v>43881</v>
      </c>
      <c r="I207" t="s">
        <v>22</v>
      </c>
      <c r="J207" t="s">
        <v>27</v>
      </c>
      <c r="K207">
        <v>3</v>
      </c>
      <c r="L207" t="str">
        <f>IF(AND(C207&gt; Sheet1!B213,K207&lt;3), "Misaligned","Aligned")</f>
        <v>Aligned</v>
      </c>
    </row>
    <row r="208" spans="1:12" x14ac:dyDescent="0.3">
      <c r="A208" t="s">
        <v>17</v>
      </c>
      <c r="B208">
        <v>40</v>
      </c>
      <c r="C208">
        <v>60000</v>
      </c>
      <c r="D208" t="s">
        <v>19</v>
      </c>
      <c r="E208" t="s">
        <v>13</v>
      </c>
      <c r="F208" t="s">
        <v>14</v>
      </c>
      <c r="G208">
        <v>2019</v>
      </c>
      <c r="H208" s="1">
        <v>43800</v>
      </c>
      <c r="I208" t="s">
        <v>37</v>
      </c>
      <c r="J208" t="s">
        <v>16</v>
      </c>
      <c r="K208">
        <v>2</v>
      </c>
      <c r="L208" t="str">
        <f>IF(AND(C208&gt; Sheet1!B214,K208&lt;3), "Misaligned","Aligned")</f>
        <v>Misaligned</v>
      </c>
    </row>
    <row r="209" spans="1:12" x14ac:dyDescent="0.3">
      <c r="A209" t="s">
        <v>35</v>
      </c>
      <c r="B209">
        <v>30</v>
      </c>
      <c r="C209">
        <v>55000</v>
      </c>
      <c r="D209" t="s">
        <v>12</v>
      </c>
      <c r="E209" t="s">
        <v>20</v>
      </c>
      <c r="F209" t="s">
        <v>39</v>
      </c>
      <c r="G209">
        <v>2020</v>
      </c>
      <c r="H209" s="1">
        <v>43845</v>
      </c>
      <c r="I209" t="s">
        <v>26</v>
      </c>
      <c r="J209" t="s">
        <v>38</v>
      </c>
      <c r="K209">
        <v>4</v>
      </c>
      <c r="L209" t="str">
        <f>IF(AND(C209&gt; Sheet1!B215,K209&lt;3), "Misaligned","Aligned")</f>
        <v>Aligned</v>
      </c>
    </row>
    <row r="210" spans="1:12" x14ac:dyDescent="0.3">
      <c r="A210" t="s">
        <v>31</v>
      </c>
      <c r="B210">
        <v>40</v>
      </c>
      <c r="C210" t="s">
        <v>18</v>
      </c>
      <c r="D210" t="s">
        <v>12</v>
      </c>
      <c r="E210" t="s">
        <v>29</v>
      </c>
      <c r="F210" t="s">
        <v>21</v>
      </c>
      <c r="G210">
        <v>2019</v>
      </c>
      <c r="H210" s="1">
        <v>43549</v>
      </c>
      <c r="I210" t="s">
        <v>34</v>
      </c>
      <c r="J210" t="s">
        <v>30</v>
      </c>
      <c r="K210">
        <v>5</v>
      </c>
      <c r="L210" t="str">
        <f>IF(AND(C210&gt; Sheet1!B216,K210&lt;3), "Misaligned","Aligned")</f>
        <v>Aligned</v>
      </c>
    </row>
    <row r="211" spans="1:12" x14ac:dyDescent="0.3">
      <c r="A211" t="s">
        <v>35</v>
      </c>
      <c r="B211">
        <v>35</v>
      </c>
      <c r="C211">
        <v>70000</v>
      </c>
      <c r="D211" t="s">
        <v>32</v>
      </c>
      <c r="E211" t="s">
        <v>13</v>
      </c>
      <c r="F211" t="s">
        <v>21</v>
      </c>
      <c r="G211">
        <v>2020</v>
      </c>
      <c r="H211" s="1">
        <v>43845</v>
      </c>
      <c r="I211" t="s">
        <v>26</v>
      </c>
      <c r="J211" t="s">
        <v>27</v>
      </c>
      <c r="K211">
        <v>3</v>
      </c>
      <c r="L211" t="str">
        <f>IF(AND(C211&gt; Sheet1!B217,K211&lt;3), "Misaligned","Aligned")</f>
        <v>Aligned</v>
      </c>
    </row>
    <row r="212" spans="1:12" x14ac:dyDescent="0.3">
      <c r="A212" t="s">
        <v>35</v>
      </c>
      <c r="B212">
        <v>50</v>
      </c>
      <c r="C212">
        <v>50000</v>
      </c>
      <c r="D212" t="s">
        <v>32</v>
      </c>
      <c r="E212" t="s">
        <v>13</v>
      </c>
      <c r="F212" t="s">
        <v>14</v>
      </c>
      <c r="G212">
        <v>2019</v>
      </c>
      <c r="H212" s="1">
        <v>43800</v>
      </c>
      <c r="I212" t="s">
        <v>37</v>
      </c>
      <c r="J212" t="s">
        <v>27</v>
      </c>
      <c r="K212">
        <v>3</v>
      </c>
      <c r="L212" t="str">
        <f>IF(AND(C212&gt; Sheet1!B218,K212&lt;3), "Misaligned","Aligned")</f>
        <v>Aligned</v>
      </c>
    </row>
    <row r="213" spans="1:12" x14ac:dyDescent="0.3">
      <c r="A213" t="s">
        <v>17</v>
      </c>
      <c r="B213">
        <v>30</v>
      </c>
      <c r="C213">
        <v>50000</v>
      </c>
      <c r="D213" t="s">
        <v>19</v>
      </c>
      <c r="E213" t="s">
        <v>33</v>
      </c>
      <c r="F213" t="s">
        <v>39</v>
      </c>
      <c r="G213">
        <v>2019</v>
      </c>
      <c r="H213" s="1">
        <v>43549</v>
      </c>
      <c r="I213" t="s">
        <v>34</v>
      </c>
      <c r="J213" t="s">
        <v>30</v>
      </c>
      <c r="K213">
        <v>5</v>
      </c>
      <c r="L213" t="str">
        <f>IF(AND(C213&gt; Sheet1!B219,K213&lt;3), "Misaligned","Aligned")</f>
        <v>Aligned</v>
      </c>
    </row>
    <row r="214" spans="1:12" x14ac:dyDescent="0.3">
      <c r="A214" t="s">
        <v>11</v>
      </c>
      <c r="B214">
        <v>40</v>
      </c>
      <c r="C214">
        <v>60000</v>
      </c>
      <c r="D214" t="s">
        <v>19</v>
      </c>
      <c r="E214" t="s">
        <v>33</v>
      </c>
      <c r="F214" t="s">
        <v>21</v>
      </c>
      <c r="G214">
        <v>2019</v>
      </c>
      <c r="H214" s="1">
        <v>43549</v>
      </c>
      <c r="I214" t="s">
        <v>34</v>
      </c>
      <c r="J214" t="s">
        <v>30</v>
      </c>
      <c r="K214">
        <v>5</v>
      </c>
      <c r="L214" t="str">
        <f>IF(AND(C214&gt; Sheet1!B220,K214&lt;3), "Misaligned","Aligned")</f>
        <v>Aligned</v>
      </c>
    </row>
    <row r="215" spans="1:12" x14ac:dyDescent="0.3">
      <c r="A215" t="s">
        <v>17</v>
      </c>
      <c r="B215">
        <v>30</v>
      </c>
      <c r="C215">
        <v>65000</v>
      </c>
      <c r="D215" t="s">
        <v>32</v>
      </c>
      <c r="E215" t="s">
        <v>13</v>
      </c>
      <c r="F215" t="s">
        <v>40</v>
      </c>
      <c r="G215">
        <v>2019</v>
      </c>
      <c r="H215" s="1">
        <v>43800</v>
      </c>
      <c r="I215" t="s">
        <v>37</v>
      </c>
      <c r="J215" t="s">
        <v>16</v>
      </c>
      <c r="K215">
        <v>2</v>
      </c>
      <c r="L215" t="str">
        <f>IF(AND(C215&gt; Sheet1!B221,K215&lt;3), "Misaligned","Aligned")</f>
        <v>Misaligned</v>
      </c>
    </row>
    <row r="216" spans="1:12" x14ac:dyDescent="0.3">
      <c r="A216" t="s">
        <v>44</v>
      </c>
      <c r="B216" t="s">
        <v>18</v>
      </c>
      <c r="C216" t="s">
        <v>18</v>
      </c>
      <c r="D216" t="s">
        <v>32</v>
      </c>
      <c r="E216" t="s">
        <v>20</v>
      </c>
      <c r="F216" t="s">
        <v>40</v>
      </c>
      <c r="G216">
        <v>2019</v>
      </c>
      <c r="H216" s="1">
        <v>43800</v>
      </c>
      <c r="I216" t="s">
        <v>37</v>
      </c>
      <c r="J216" t="s">
        <v>30</v>
      </c>
      <c r="K216">
        <v>5</v>
      </c>
      <c r="L216" t="str">
        <f>IF(AND(C216&gt; Sheet1!B222,K216&lt;3), "Misaligned","Aligned")</f>
        <v>Aligned</v>
      </c>
    </row>
    <row r="217" spans="1:12" x14ac:dyDescent="0.3">
      <c r="A217" t="s">
        <v>43</v>
      </c>
      <c r="B217">
        <v>25</v>
      </c>
      <c r="C217">
        <v>60000</v>
      </c>
      <c r="D217" t="s">
        <v>12</v>
      </c>
      <c r="E217" t="s">
        <v>25</v>
      </c>
      <c r="F217" t="s">
        <v>39</v>
      </c>
      <c r="G217">
        <v>2020</v>
      </c>
      <c r="H217" s="1">
        <v>43881</v>
      </c>
      <c r="I217" t="s">
        <v>22</v>
      </c>
      <c r="J217" t="s">
        <v>16</v>
      </c>
      <c r="K217">
        <v>2</v>
      </c>
      <c r="L217" t="str">
        <f>IF(AND(C217&gt; Sheet1!B223,K217&lt;3), "Misaligned","Aligned")</f>
        <v>Misaligned</v>
      </c>
    </row>
    <row r="218" spans="1:12" x14ac:dyDescent="0.3">
      <c r="A218" t="s">
        <v>24</v>
      </c>
      <c r="B218">
        <v>50</v>
      </c>
      <c r="C218">
        <v>65000</v>
      </c>
      <c r="D218" t="s">
        <v>32</v>
      </c>
      <c r="E218" t="s">
        <v>25</v>
      </c>
      <c r="F218" t="s">
        <v>14</v>
      </c>
      <c r="G218">
        <v>2019</v>
      </c>
      <c r="H218" s="1">
        <v>43800</v>
      </c>
      <c r="I218" t="s">
        <v>37</v>
      </c>
      <c r="J218" t="s">
        <v>16</v>
      </c>
      <c r="K218">
        <v>2</v>
      </c>
      <c r="L218" t="str">
        <f>IF(AND(C218&gt; Sheet1!B224,K218&lt;3), "Misaligned","Aligned")</f>
        <v>Misaligned</v>
      </c>
    </row>
    <row r="219" spans="1:12" x14ac:dyDescent="0.3">
      <c r="A219" t="s">
        <v>11</v>
      </c>
      <c r="B219">
        <v>30</v>
      </c>
      <c r="C219">
        <v>55000</v>
      </c>
      <c r="D219" t="s">
        <v>19</v>
      </c>
      <c r="E219" t="s">
        <v>13</v>
      </c>
      <c r="F219" t="s">
        <v>21</v>
      </c>
      <c r="G219">
        <v>2018</v>
      </c>
      <c r="H219" s="1">
        <v>43195</v>
      </c>
      <c r="I219" t="s">
        <v>15</v>
      </c>
      <c r="J219" t="s">
        <v>23</v>
      </c>
      <c r="K219">
        <v>1</v>
      </c>
      <c r="L219" t="str">
        <f>IF(AND(C219&gt; Sheet1!B225,K219&lt;3), "Misaligned","Aligned")</f>
        <v>Misaligned</v>
      </c>
    </row>
    <row r="220" spans="1:12" x14ac:dyDescent="0.3">
      <c r="A220" t="s">
        <v>42</v>
      </c>
      <c r="B220">
        <v>25</v>
      </c>
      <c r="C220" t="s">
        <v>18</v>
      </c>
      <c r="D220" t="s">
        <v>12</v>
      </c>
      <c r="E220" t="s">
        <v>13</v>
      </c>
      <c r="F220" t="s">
        <v>14</v>
      </c>
      <c r="G220">
        <v>2019</v>
      </c>
      <c r="H220" s="1">
        <v>43800</v>
      </c>
      <c r="I220" t="s">
        <v>37</v>
      </c>
      <c r="J220" t="s">
        <v>27</v>
      </c>
      <c r="K220">
        <v>3</v>
      </c>
      <c r="L220" t="str">
        <f>IF(AND(C220&gt; Sheet1!B226,K220&lt;3), "Misaligned","Aligned")</f>
        <v>Aligned</v>
      </c>
    </row>
    <row r="221" spans="1:12" x14ac:dyDescent="0.3">
      <c r="A221" t="s">
        <v>24</v>
      </c>
      <c r="B221">
        <v>40</v>
      </c>
      <c r="C221">
        <v>55000</v>
      </c>
      <c r="D221" t="s">
        <v>19</v>
      </c>
      <c r="E221" t="s">
        <v>13</v>
      </c>
      <c r="F221" t="s">
        <v>40</v>
      </c>
      <c r="G221">
        <v>2018</v>
      </c>
      <c r="H221" s="1">
        <v>43195</v>
      </c>
      <c r="I221" t="s">
        <v>15</v>
      </c>
      <c r="J221" t="s">
        <v>27</v>
      </c>
      <c r="K221">
        <v>3</v>
      </c>
      <c r="L221" t="str">
        <f>IF(AND(C221&gt; Sheet1!B227,K221&lt;3), "Misaligned","Aligned")</f>
        <v>Aligned</v>
      </c>
    </row>
    <row r="222" spans="1:12" x14ac:dyDescent="0.3">
      <c r="A222" t="s">
        <v>43</v>
      </c>
      <c r="B222">
        <v>25</v>
      </c>
      <c r="C222">
        <v>70000</v>
      </c>
      <c r="D222" t="s">
        <v>12</v>
      </c>
      <c r="E222" t="s">
        <v>20</v>
      </c>
      <c r="F222" t="s">
        <v>21</v>
      </c>
      <c r="G222">
        <v>2019</v>
      </c>
      <c r="H222" s="1">
        <v>43800</v>
      </c>
      <c r="I222" t="s">
        <v>37</v>
      </c>
      <c r="J222" t="s">
        <v>27</v>
      </c>
      <c r="K222">
        <v>3</v>
      </c>
      <c r="L222" t="str">
        <f>IF(AND(C222&gt; Sheet1!B228,K222&lt;3), "Misaligned","Aligned")</f>
        <v>Aligned</v>
      </c>
    </row>
    <row r="223" spans="1:12" x14ac:dyDescent="0.3">
      <c r="A223" t="s">
        <v>44</v>
      </c>
      <c r="B223">
        <v>50</v>
      </c>
      <c r="C223" t="s">
        <v>18</v>
      </c>
      <c r="D223" t="s">
        <v>32</v>
      </c>
      <c r="E223" t="s">
        <v>33</v>
      </c>
      <c r="F223" t="s">
        <v>14</v>
      </c>
      <c r="G223">
        <v>2020</v>
      </c>
      <c r="H223" s="1">
        <v>43881</v>
      </c>
      <c r="I223" t="s">
        <v>22</v>
      </c>
      <c r="J223" t="s">
        <v>23</v>
      </c>
      <c r="K223">
        <v>1</v>
      </c>
      <c r="L223" t="str">
        <f>IF(AND(C223&gt; Sheet1!B229,K223&lt;3), "Misaligned","Aligned")</f>
        <v>Misaligned</v>
      </c>
    </row>
    <row r="224" spans="1:12" x14ac:dyDescent="0.3">
      <c r="A224" t="s">
        <v>44</v>
      </c>
      <c r="B224">
        <v>30</v>
      </c>
      <c r="C224">
        <v>65000</v>
      </c>
      <c r="D224" t="s">
        <v>19</v>
      </c>
      <c r="E224" t="s">
        <v>13</v>
      </c>
      <c r="F224" t="s">
        <v>36</v>
      </c>
      <c r="G224">
        <v>2018</v>
      </c>
      <c r="H224" s="1">
        <v>43195</v>
      </c>
      <c r="I224" t="s">
        <v>15</v>
      </c>
      <c r="J224" t="s">
        <v>16</v>
      </c>
      <c r="K224">
        <v>2</v>
      </c>
      <c r="L224" t="str">
        <f>IF(AND(C224&gt; Sheet1!B230,K224&lt;3), "Misaligned","Aligned")</f>
        <v>Misaligned</v>
      </c>
    </row>
    <row r="225" spans="1:12" x14ac:dyDescent="0.3">
      <c r="A225" t="s">
        <v>42</v>
      </c>
      <c r="B225" t="s">
        <v>18</v>
      </c>
      <c r="C225">
        <v>70000</v>
      </c>
      <c r="D225" t="s">
        <v>12</v>
      </c>
      <c r="E225" t="s">
        <v>13</v>
      </c>
      <c r="F225" t="s">
        <v>39</v>
      </c>
      <c r="G225">
        <v>2020</v>
      </c>
      <c r="H225" s="1">
        <v>43845</v>
      </c>
      <c r="I225" t="s">
        <v>26</v>
      </c>
      <c r="J225" t="s">
        <v>16</v>
      </c>
      <c r="K225">
        <v>2</v>
      </c>
      <c r="L225" t="str">
        <f>IF(AND(C225&gt; Sheet1!B231,K225&lt;3), "Misaligned","Aligned")</f>
        <v>Misaligned</v>
      </c>
    </row>
    <row r="226" spans="1:12" x14ac:dyDescent="0.3">
      <c r="A226" t="s">
        <v>11</v>
      </c>
      <c r="B226">
        <v>40</v>
      </c>
      <c r="C226">
        <v>50000</v>
      </c>
      <c r="D226" t="s">
        <v>12</v>
      </c>
      <c r="E226" t="s">
        <v>29</v>
      </c>
      <c r="F226" t="s">
        <v>39</v>
      </c>
      <c r="G226">
        <v>2018</v>
      </c>
      <c r="H226" s="1">
        <v>43195</v>
      </c>
      <c r="I226" t="s">
        <v>15</v>
      </c>
      <c r="J226" t="s">
        <v>30</v>
      </c>
      <c r="K226">
        <v>5</v>
      </c>
      <c r="L226" t="str">
        <f>IF(AND(C226&gt; Sheet1!B232,K226&lt;3), "Misaligned","Aligned")</f>
        <v>Aligned</v>
      </c>
    </row>
    <row r="227" spans="1:12" x14ac:dyDescent="0.3">
      <c r="A227" t="s">
        <v>31</v>
      </c>
      <c r="B227">
        <v>30</v>
      </c>
      <c r="C227">
        <v>65000</v>
      </c>
      <c r="D227" t="s">
        <v>32</v>
      </c>
      <c r="E227" t="s">
        <v>20</v>
      </c>
      <c r="F227" t="s">
        <v>36</v>
      </c>
      <c r="G227">
        <v>2020</v>
      </c>
      <c r="H227" s="1">
        <v>43881</v>
      </c>
      <c r="I227" t="s">
        <v>22</v>
      </c>
      <c r="J227" t="s">
        <v>23</v>
      </c>
      <c r="K227">
        <v>1</v>
      </c>
      <c r="L227" t="str">
        <f>IF(AND(C227&gt; Sheet1!B233,K227&lt;3), "Misaligned","Aligned")</f>
        <v>Misaligned</v>
      </c>
    </row>
    <row r="228" spans="1:12" x14ac:dyDescent="0.3">
      <c r="A228" t="s">
        <v>35</v>
      </c>
      <c r="B228">
        <v>50</v>
      </c>
      <c r="C228">
        <v>60000</v>
      </c>
      <c r="D228" t="s">
        <v>32</v>
      </c>
      <c r="E228" t="s">
        <v>13</v>
      </c>
      <c r="F228" t="s">
        <v>40</v>
      </c>
      <c r="G228">
        <v>2018</v>
      </c>
      <c r="H228" s="1">
        <v>43195</v>
      </c>
      <c r="I228" t="s">
        <v>15</v>
      </c>
      <c r="J228" t="s">
        <v>30</v>
      </c>
      <c r="K228">
        <v>5</v>
      </c>
      <c r="L228" t="str">
        <f>IF(AND(C228&gt; Sheet1!B234,K228&lt;3), "Misaligned","Aligned")</f>
        <v>Aligned</v>
      </c>
    </row>
    <row r="229" spans="1:12" x14ac:dyDescent="0.3">
      <c r="A229" t="s">
        <v>11</v>
      </c>
      <c r="B229">
        <v>40</v>
      </c>
      <c r="C229">
        <v>50000</v>
      </c>
      <c r="D229" t="s">
        <v>32</v>
      </c>
      <c r="E229" t="s">
        <v>29</v>
      </c>
      <c r="F229" t="s">
        <v>21</v>
      </c>
      <c r="G229">
        <v>2019</v>
      </c>
      <c r="H229" s="1">
        <v>43800</v>
      </c>
      <c r="I229" t="s">
        <v>37</v>
      </c>
      <c r="J229" t="s">
        <v>23</v>
      </c>
      <c r="K229">
        <v>1</v>
      </c>
      <c r="L229" t="str">
        <f>IF(AND(C229&gt; Sheet1!B235,K229&lt;3), "Misaligned","Aligned")</f>
        <v>Misaligned</v>
      </c>
    </row>
    <row r="230" spans="1:12" x14ac:dyDescent="0.3">
      <c r="A230" t="s">
        <v>31</v>
      </c>
      <c r="B230">
        <v>35</v>
      </c>
      <c r="C230">
        <v>50000</v>
      </c>
      <c r="D230" t="s">
        <v>19</v>
      </c>
      <c r="E230" t="s">
        <v>25</v>
      </c>
      <c r="F230" t="s">
        <v>39</v>
      </c>
      <c r="G230">
        <v>2019</v>
      </c>
      <c r="H230" s="1">
        <v>43800</v>
      </c>
      <c r="I230" t="s">
        <v>37</v>
      </c>
      <c r="J230" t="s">
        <v>30</v>
      </c>
      <c r="K230">
        <v>5</v>
      </c>
      <c r="L230" t="str">
        <f>IF(AND(C230&gt; Sheet1!B236,K230&lt;3), "Misaligned","Aligned")</f>
        <v>Aligned</v>
      </c>
    </row>
    <row r="231" spans="1:12" x14ac:dyDescent="0.3">
      <c r="A231" t="s">
        <v>44</v>
      </c>
      <c r="B231">
        <v>25</v>
      </c>
      <c r="C231">
        <v>60000</v>
      </c>
      <c r="D231" t="s">
        <v>12</v>
      </c>
      <c r="E231" t="s">
        <v>13</v>
      </c>
      <c r="F231" t="s">
        <v>36</v>
      </c>
      <c r="G231">
        <v>2020</v>
      </c>
      <c r="H231" s="1">
        <v>43881</v>
      </c>
      <c r="I231" t="s">
        <v>22</v>
      </c>
      <c r="J231" t="s">
        <v>38</v>
      </c>
      <c r="K231">
        <v>4</v>
      </c>
      <c r="L231" t="str">
        <f>IF(AND(C231&gt; Sheet1!B237,K231&lt;3), "Misaligned","Aligned")</f>
        <v>Aligned</v>
      </c>
    </row>
    <row r="232" spans="1:12" x14ac:dyDescent="0.3">
      <c r="A232" t="s">
        <v>17</v>
      </c>
      <c r="B232">
        <v>50</v>
      </c>
      <c r="C232" t="s">
        <v>18</v>
      </c>
      <c r="D232" t="s">
        <v>32</v>
      </c>
      <c r="E232" t="s">
        <v>13</v>
      </c>
      <c r="F232" t="s">
        <v>36</v>
      </c>
      <c r="G232">
        <v>2019</v>
      </c>
      <c r="H232" s="1">
        <v>43549</v>
      </c>
      <c r="I232" t="s">
        <v>34</v>
      </c>
      <c r="J232" t="s">
        <v>27</v>
      </c>
      <c r="K232">
        <v>3</v>
      </c>
      <c r="L232" t="str">
        <f>IF(AND(C232&gt; Sheet1!B238,K232&lt;3), "Misaligned","Aligned")</f>
        <v>Aligned</v>
      </c>
    </row>
    <row r="233" spans="1:12" x14ac:dyDescent="0.3">
      <c r="A233" t="s">
        <v>43</v>
      </c>
      <c r="B233">
        <v>35</v>
      </c>
      <c r="C233">
        <v>50000</v>
      </c>
      <c r="D233" t="s">
        <v>19</v>
      </c>
      <c r="E233" t="s">
        <v>29</v>
      </c>
      <c r="F233" t="s">
        <v>40</v>
      </c>
      <c r="G233">
        <v>2019</v>
      </c>
      <c r="H233" s="1">
        <v>43800</v>
      </c>
      <c r="I233" t="s">
        <v>37</v>
      </c>
      <c r="J233" t="s">
        <v>27</v>
      </c>
      <c r="K233">
        <v>3</v>
      </c>
      <c r="L233" t="str">
        <f>IF(AND(C233&gt; Sheet1!B239,K233&lt;3), "Misaligned","Aligned")</f>
        <v>Aligned</v>
      </c>
    </row>
    <row r="234" spans="1:12" x14ac:dyDescent="0.3">
      <c r="A234" t="s">
        <v>42</v>
      </c>
      <c r="B234">
        <v>30</v>
      </c>
      <c r="C234">
        <v>65000</v>
      </c>
      <c r="D234" t="s">
        <v>19</v>
      </c>
      <c r="E234" t="s">
        <v>20</v>
      </c>
      <c r="F234" t="s">
        <v>40</v>
      </c>
      <c r="G234">
        <v>2020</v>
      </c>
      <c r="H234" s="1">
        <v>43845</v>
      </c>
      <c r="I234" t="s">
        <v>26</v>
      </c>
      <c r="J234" t="s">
        <v>16</v>
      </c>
      <c r="K234">
        <v>2</v>
      </c>
      <c r="L234" t="str">
        <f>IF(AND(C234&gt; Sheet1!B240,K234&lt;3), "Misaligned","Aligned")</f>
        <v>Misaligned</v>
      </c>
    </row>
    <row r="235" spans="1:12" x14ac:dyDescent="0.3">
      <c r="A235" t="s">
        <v>43</v>
      </c>
      <c r="B235" t="s">
        <v>18</v>
      </c>
      <c r="C235">
        <v>70000</v>
      </c>
      <c r="D235" t="s">
        <v>19</v>
      </c>
      <c r="E235" t="s">
        <v>13</v>
      </c>
      <c r="F235" t="s">
        <v>14</v>
      </c>
      <c r="G235">
        <v>2020</v>
      </c>
      <c r="H235" s="1">
        <v>43881</v>
      </c>
      <c r="I235" t="s">
        <v>22</v>
      </c>
      <c r="J235" t="s">
        <v>38</v>
      </c>
      <c r="K235">
        <v>4</v>
      </c>
      <c r="L235" t="str">
        <f>IF(AND(C235&gt; Sheet1!B241,K235&lt;3), "Misaligned","Aligned")</f>
        <v>Aligned</v>
      </c>
    </row>
    <row r="236" spans="1:12" x14ac:dyDescent="0.3">
      <c r="A236" t="s">
        <v>28</v>
      </c>
      <c r="B236">
        <v>40</v>
      </c>
      <c r="C236">
        <v>50000</v>
      </c>
      <c r="D236" t="s">
        <v>32</v>
      </c>
      <c r="E236" t="s">
        <v>25</v>
      </c>
      <c r="F236" t="s">
        <v>39</v>
      </c>
      <c r="G236">
        <v>2018</v>
      </c>
      <c r="H236" s="1">
        <v>43195</v>
      </c>
      <c r="I236" t="s">
        <v>15</v>
      </c>
      <c r="J236" t="s">
        <v>27</v>
      </c>
      <c r="K236">
        <v>3</v>
      </c>
      <c r="L236" t="str">
        <f>IF(AND(C236&gt; Sheet1!B242,K236&lt;3), "Misaligned","Aligned")</f>
        <v>Aligned</v>
      </c>
    </row>
    <row r="237" spans="1:12" x14ac:dyDescent="0.3">
      <c r="A237" t="s">
        <v>28</v>
      </c>
      <c r="B237">
        <v>25</v>
      </c>
      <c r="C237">
        <v>65000</v>
      </c>
      <c r="D237" t="s">
        <v>32</v>
      </c>
      <c r="E237" t="s">
        <v>13</v>
      </c>
      <c r="F237" t="s">
        <v>14</v>
      </c>
      <c r="G237">
        <v>2018</v>
      </c>
      <c r="H237" s="1">
        <v>43195</v>
      </c>
      <c r="I237" t="s">
        <v>15</v>
      </c>
      <c r="J237" t="s">
        <v>16</v>
      </c>
      <c r="K237">
        <v>2</v>
      </c>
      <c r="L237" t="str">
        <f>IF(AND(C237&gt; Sheet1!B243,K237&lt;3), "Misaligned","Aligned")</f>
        <v>Misaligned</v>
      </c>
    </row>
    <row r="238" spans="1:12" x14ac:dyDescent="0.3">
      <c r="A238" t="s">
        <v>11</v>
      </c>
      <c r="B238">
        <v>40</v>
      </c>
      <c r="C238">
        <v>55000</v>
      </c>
      <c r="D238" t="s">
        <v>12</v>
      </c>
      <c r="E238" t="s">
        <v>25</v>
      </c>
      <c r="F238" t="s">
        <v>36</v>
      </c>
      <c r="G238">
        <v>2020</v>
      </c>
      <c r="H238" s="1">
        <v>43845</v>
      </c>
      <c r="I238" t="s">
        <v>26</v>
      </c>
      <c r="J238" t="s">
        <v>38</v>
      </c>
      <c r="K238">
        <v>4</v>
      </c>
      <c r="L238" t="str">
        <f>IF(AND(C238&gt; Sheet1!B244,K238&lt;3), "Misaligned","Aligned")</f>
        <v>Aligned</v>
      </c>
    </row>
    <row r="239" spans="1:12" x14ac:dyDescent="0.3">
      <c r="A239" t="s">
        <v>44</v>
      </c>
      <c r="B239">
        <v>30</v>
      </c>
      <c r="C239">
        <v>65000</v>
      </c>
      <c r="D239" t="s">
        <v>12</v>
      </c>
      <c r="E239" t="s">
        <v>33</v>
      </c>
      <c r="F239" t="s">
        <v>21</v>
      </c>
      <c r="G239">
        <v>2019</v>
      </c>
      <c r="H239" s="1">
        <v>43800</v>
      </c>
      <c r="I239" t="s">
        <v>37</v>
      </c>
      <c r="J239" t="s">
        <v>27</v>
      </c>
      <c r="K239">
        <v>3</v>
      </c>
      <c r="L239" t="str">
        <f>IF(AND(C239&gt; Sheet1!B245,K239&lt;3), "Misaligned","Aligned")</f>
        <v>Aligned</v>
      </c>
    </row>
    <row r="240" spans="1:12" x14ac:dyDescent="0.3">
      <c r="A240" t="s">
        <v>44</v>
      </c>
      <c r="B240">
        <v>40</v>
      </c>
      <c r="C240">
        <v>70000</v>
      </c>
      <c r="D240" t="s">
        <v>32</v>
      </c>
      <c r="E240" t="s">
        <v>33</v>
      </c>
      <c r="F240" t="s">
        <v>21</v>
      </c>
      <c r="G240">
        <v>2020</v>
      </c>
      <c r="H240" s="1">
        <v>43881</v>
      </c>
      <c r="I240" t="s">
        <v>22</v>
      </c>
      <c r="J240" t="s">
        <v>30</v>
      </c>
      <c r="K240">
        <v>5</v>
      </c>
      <c r="L240" t="str">
        <f>IF(AND(C240&gt; Sheet1!B246,K240&lt;3), "Misaligned","Aligned")</f>
        <v>Aligned</v>
      </c>
    </row>
    <row r="241" spans="1:12" x14ac:dyDescent="0.3">
      <c r="A241" t="s">
        <v>35</v>
      </c>
      <c r="B241">
        <v>25</v>
      </c>
      <c r="C241">
        <v>65000</v>
      </c>
      <c r="D241" t="s">
        <v>19</v>
      </c>
      <c r="E241" t="s">
        <v>25</v>
      </c>
      <c r="F241" t="s">
        <v>40</v>
      </c>
      <c r="G241">
        <v>2020</v>
      </c>
      <c r="H241" s="1">
        <v>43845</v>
      </c>
      <c r="I241" t="s">
        <v>26</v>
      </c>
      <c r="J241" t="s">
        <v>23</v>
      </c>
      <c r="K241">
        <v>1</v>
      </c>
      <c r="L241" t="str">
        <f>IF(AND(C241&gt; Sheet1!B247,K241&lt;3), "Misaligned","Aligned")</f>
        <v>Misaligned</v>
      </c>
    </row>
    <row r="242" spans="1:12" x14ac:dyDescent="0.3">
      <c r="A242" t="s">
        <v>35</v>
      </c>
      <c r="B242">
        <v>30</v>
      </c>
      <c r="C242">
        <v>60000</v>
      </c>
      <c r="D242" t="s">
        <v>19</v>
      </c>
      <c r="E242" t="s">
        <v>20</v>
      </c>
      <c r="F242" t="s">
        <v>21</v>
      </c>
      <c r="G242">
        <v>2019</v>
      </c>
      <c r="H242" s="1">
        <v>43800</v>
      </c>
      <c r="I242" t="s">
        <v>37</v>
      </c>
      <c r="J242" t="s">
        <v>38</v>
      </c>
      <c r="K242">
        <v>4</v>
      </c>
      <c r="L242" t="str">
        <f>IF(AND(C242&gt; Sheet1!B248,K242&lt;3), "Misaligned","Aligned")</f>
        <v>Aligned</v>
      </c>
    </row>
    <row r="243" spans="1:12" x14ac:dyDescent="0.3">
      <c r="A243" t="s">
        <v>35</v>
      </c>
      <c r="B243">
        <v>40</v>
      </c>
      <c r="C243">
        <v>70000</v>
      </c>
      <c r="D243" t="s">
        <v>19</v>
      </c>
      <c r="E243" t="s">
        <v>13</v>
      </c>
      <c r="F243" t="s">
        <v>21</v>
      </c>
      <c r="G243">
        <v>2020</v>
      </c>
      <c r="H243" s="1">
        <v>43881</v>
      </c>
      <c r="I243" t="s">
        <v>22</v>
      </c>
      <c r="J243" t="s">
        <v>16</v>
      </c>
      <c r="K243">
        <v>2</v>
      </c>
      <c r="L243" t="str">
        <f>IF(AND(C243&gt; Sheet1!B249,K243&lt;3), "Misaligned","Aligned")</f>
        <v>Misaligned</v>
      </c>
    </row>
    <row r="244" spans="1:12" x14ac:dyDescent="0.3">
      <c r="A244" t="s">
        <v>17</v>
      </c>
      <c r="B244" t="s">
        <v>18</v>
      </c>
      <c r="C244" t="s">
        <v>18</v>
      </c>
      <c r="D244" t="s">
        <v>12</v>
      </c>
      <c r="E244" t="s">
        <v>13</v>
      </c>
      <c r="F244" t="s">
        <v>21</v>
      </c>
      <c r="G244">
        <v>2018</v>
      </c>
      <c r="H244" s="1">
        <v>43195</v>
      </c>
      <c r="I244" t="s">
        <v>15</v>
      </c>
      <c r="J244" t="s">
        <v>38</v>
      </c>
      <c r="K244">
        <v>4</v>
      </c>
      <c r="L244" t="str">
        <f>IF(AND(C244&gt; Sheet1!B250,K244&lt;3), "Misaligned","Aligned")</f>
        <v>Aligned</v>
      </c>
    </row>
    <row r="245" spans="1:12" x14ac:dyDescent="0.3">
      <c r="A245" t="s">
        <v>24</v>
      </c>
      <c r="B245">
        <v>50</v>
      </c>
      <c r="C245">
        <v>55000</v>
      </c>
      <c r="D245" t="s">
        <v>19</v>
      </c>
      <c r="E245" t="s">
        <v>33</v>
      </c>
      <c r="F245" t="s">
        <v>36</v>
      </c>
      <c r="G245">
        <v>2020</v>
      </c>
      <c r="H245" s="1">
        <v>43881</v>
      </c>
      <c r="I245" t="s">
        <v>22</v>
      </c>
      <c r="J245" t="s">
        <v>16</v>
      </c>
      <c r="K245">
        <v>2</v>
      </c>
      <c r="L245" t="str">
        <f>IF(AND(C245&gt; Sheet1!B251,K245&lt;3), "Misaligned","Aligned")</f>
        <v>Misaligned</v>
      </c>
    </row>
    <row r="246" spans="1:12" x14ac:dyDescent="0.3">
      <c r="A246" t="s">
        <v>41</v>
      </c>
      <c r="B246">
        <v>30</v>
      </c>
      <c r="C246">
        <v>60000</v>
      </c>
      <c r="D246" t="s">
        <v>12</v>
      </c>
      <c r="E246" t="s">
        <v>25</v>
      </c>
      <c r="F246" t="s">
        <v>21</v>
      </c>
      <c r="G246">
        <v>2019</v>
      </c>
      <c r="H246" s="1">
        <v>43549</v>
      </c>
      <c r="I246" t="s">
        <v>34</v>
      </c>
      <c r="J246" t="s">
        <v>38</v>
      </c>
      <c r="K246">
        <v>4</v>
      </c>
      <c r="L246" t="str">
        <f>IF(AND(C246&gt; Sheet1!B252,K246&lt;3), "Misaligned","Aligned")</f>
        <v>Aligned</v>
      </c>
    </row>
    <row r="247" spans="1:12" x14ac:dyDescent="0.3">
      <c r="A247" t="s">
        <v>24</v>
      </c>
      <c r="B247">
        <v>50</v>
      </c>
      <c r="C247" t="s">
        <v>18</v>
      </c>
      <c r="D247" t="s">
        <v>12</v>
      </c>
      <c r="E247" t="s">
        <v>13</v>
      </c>
      <c r="F247" t="s">
        <v>21</v>
      </c>
      <c r="G247">
        <v>2020</v>
      </c>
      <c r="H247" s="1">
        <v>43881</v>
      </c>
      <c r="I247" t="s">
        <v>22</v>
      </c>
      <c r="J247" t="s">
        <v>16</v>
      </c>
      <c r="K247">
        <v>2</v>
      </c>
      <c r="L247" t="str">
        <f>IF(AND(C247&gt; Sheet1!B253,K247&lt;3), "Misaligned","Aligned")</f>
        <v>Misaligned</v>
      </c>
    </row>
    <row r="248" spans="1:12" x14ac:dyDescent="0.3">
      <c r="A248" t="s">
        <v>43</v>
      </c>
      <c r="B248">
        <v>30</v>
      </c>
      <c r="C248">
        <v>65000</v>
      </c>
      <c r="D248" t="s">
        <v>19</v>
      </c>
      <c r="E248" t="s">
        <v>13</v>
      </c>
      <c r="F248" t="s">
        <v>21</v>
      </c>
      <c r="G248">
        <v>2019</v>
      </c>
      <c r="H248" s="1">
        <v>43549</v>
      </c>
      <c r="I248" t="s">
        <v>34</v>
      </c>
      <c r="J248" t="s">
        <v>27</v>
      </c>
      <c r="K248">
        <v>3</v>
      </c>
      <c r="L248" t="str">
        <f>IF(AND(C248&gt; Sheet1!B254,K248&lt;3), "Misaligned","Aligned")</f>
        <v>Aligned</v>
      </c>
    </row>
    <row r="249" spans="1:12" x14ac:dyDescent="0.3">
      <c r="A249" t="s">
        <v>24</v>
      </c>
      <c r="B249" t="s">
        <v>18</v>
      </c>
      <c r="C249">
        <v>70000</v>
      </c>
      <c r="D249" t="s">
        <v>19</v>
      </c>
      <c r="E249" t="s">
        <v>20</v>
      </c>
      <c r="F249" t="s">
        <v>14</v>
      </c>
      <c r="G249">
        <v>2020</v>
      </c>
      <c r="H249" s="1">
        <v>43881</v>
      </c>
      <c r="I249" t="s">
        <v>22</v>
      </c>
      <c r="J249" t="s">
        <v>30</v>
      </c>
      <c r="K249">
        <v>5</v>
      </c>
      <c r="L249" t="str">
        <f>IF(AND(C249&gt; Sheet1!B255,K249&lt;3), "Misaligned","Aligned")</f>
        <v>Aligned</v>
      </c>
    </row>
    <row r="250" spans="1:12" x14ac:dyDescent="0.3">
      <c r="A250" t="s">
        <v>17</v>
      </c>
      <c r="B250">
        <v>50</v>
      </c>
      <c r="C250">
        <v>55000</v>
      </c>
      <c r="D250" t="s">
        <v>32</v>
      </c>
      <c r="E250" t="s">
        <v>29</v>
      </c>
      <c r="F250" t="s">
        <v>36</v>
      </c>
      <c r="G250">
        <v>2019</v>
      </c>
      <c r="H250" s="1">
        <v>43549</v>
      </c>
      <c r="I250" t="s">
        <v>34</v>
      </c>
      <c r="J250" t="s">
        <v>27</v>
      </c>
      <c r="K250">
        <v>3</v>
      </c>
      <c r="L250" t="str">
        <f>IF(AND(C250&gt; Sheet1!B256,K250&lt;3), "Misaligned","Aligned")</f>
        <v>Aligned</v>
      </c>
    </row>
    <row r="251" spans="1:12" x14ac:dyDescent="0.3">
      <c r="A251" t="s">
        <v>43</v>
      </c>
      <c r="B251">
        <v>35</v>
      </c>
      <c r="C251">
        <v>60000</v>
      </c>
      <c r="D251" t="s">
        <v>32</v>
      </c>
      <c r="E251" t="s">
        <v>33</v>
      </c>
      <c r="F251" t="s">
        <v>40</v>
      </c>
      <c r="G251">
        <v>2018</v>
      </c>
      <c r="H251" s="1">
        <v>43195</v>
      </c>
      <c r="I251" t="s">
        <v>15</v>
      </c>
      <c r="J251" t="s">
        <v>30</v>
      </c>
      <c r="K251">
        <v>5</v>
      </c>
      <c r="L251" t="str">
        <f>IF(AND(C251&gt; Sheet1!B257,K251&lt;3), "Misaligned","Aligned")</f>
        <v>Aligned</v>
      </c>
    </row>
    <row r="252" spans="1:12" x14ac:dyDescent="0.3">
      <c r="A252" t="s">
        <v>24</v>
      </c>
      <c r="B252">
        <v>25</v>
      </c>
      <c r="C252" t="s">
        <v>18</v>
      </c>
      <c r="D252" t="s">
        <v>19</v>
      </c>
      <c r="E252" t="s">
        <v>33</v>
      </c>
      <c r="F252" t="s">
        <v>14</v>
      </c>
      <c r="G252">
        <v>2019</v>
      </c>
      <c r="H252" s="1">
        <v>43800</v>
      </c>
      <c r="I252" t="s">
        <v>37</v>
      </c>
      <c r="J252" t="s">
        <v>27</v>
      </c>
      <c r="K252">
        <v>3</v>
      </c>
      <c r="L252" t="str">
        <f>IF(AND(C252&gt; Sheet1!B258,K252&lt;3), "Misaligned","Aligned")</f>
        <v>Aligned</v>
      </c>
    </row>
    <row r="253" spans="1:12" x14ac:dyDescent="0.3">
      <c r="A253" t="s">
        <v>17</v>
      </c>
      <c r="B253">
        <v>35</v>
      </c>
      <c r="C253" t="s">
        <v>18</v>
      </c>
      <c r="D253" t="s">
        <v>12</v>
      </c>
      <c r="E253" t="s">
        <v>29</v>
      </c>
      <c r="F253" t="s">
        <v>39</v>
      </c>
      <c r="G253">
        <v>2019</v>
      </c>
      <c r="H253" s="1">
        <v>43549</v>
      </c>
      <c r="I253" t="s">
        <v>34</v>
      </c>
      <c r="J253" t="s">
        <v>27</v>
      </c>
      <c r="K253">
        <v>3</v>
      </c>
      <c r="L253" t="str">
        <f>IF(AND(C253&gt; Sheet1!B259,K253&lt;3), "Misaligned","Aligned")</f>
        <v>Aligned</v>
      </c>
    </row>
    <row r="254" spans="1:12" x14ac:dyDescent="0.3">
      <c r="A254" t="s">
        <v>41</v>
      </c>
      <c r="B254">
        <v>40</v>
      </c>
      <c r="C254">
        <v>55000</v>
      </c>
      <c r="D254" t="s">
        <v>12</v>
      </c>
      <c r="E254" t="s">
        <v>13</v>
      </c>
      <c r="F254" t="s">
        <v>36</v>
      </c>
      <c r="G254">
        <v>2019</v>
      </c>
      <c r="H254" s="1">
        <v>43549</v>
      </c>
      <c r="I254" t="s">
        <v>34</v>
      </c>
      <c r="J254" t="s">
        <v>38</v>
      </c>
      <c r="K254">
        <v>4</v>
      </c>
      <c r="L254" t="str">
        <f>IF(AND(C254&gt; Sheet1!B260,K254&lt;3), "Misaligned","Aligned")</f>
        <v>Aligned</v>
      </c>
    </row>
    <row r="255" spans="1:12" x14ac:dyDescent="0.3">
      <c r="A255" t="s">
        <v>24</v>
      </c>
      <c r="B255" t="s">
        <v>18</v>
      </c>
      <c r="C255">
        <v>65000</v>
      </c>
      <c r="D255" t="s">
        <v>12</v>
      </c>
      <c r="E255" t="s">
        <v>20</v>
      </c>
      <c r="F255" t="s">
        <v>36</v>
      </c>
      <c r="G255">
        <v>2018</v>
      </c>
      <c r="H255" s="1">
        <v>43195</v>
      </c>
      <c r="I255" t="s">
        <v>15</v>
      </c>
      <c r="J255" t="s">
        <v>23</v>
      </c>
      <c r="K255">
        <v>1</v>
      </c>
      <c r="L255" t="str">
        <f>IF(AND(C255&gt; Sheet1!B261,K255&lt;3), "Misaligned","Aligned")</f>
        <v>Misaligned</v>
      </c>
    </row>
    <row r="256" spans="1:12" x14ac:dyDescent="0.3">
      <c r="A256" t="s">
        <v>17</v>
      </c>
      <c r="B256">
        <v>35</v>
      </c>
      <c r="C256">
        <v>55000</v>
      </c>
      <c r="D256" t="s">
        <v>12</v>
      </c>
      <c r="E256" t="s">
        <v>20</v>
      </c>
      <c r="F256" t="s">
        <v>39</v>
      </c>
      <c r="G256">
        <v>2019</v>
      </c>
      <c r="H256" s="1">
        <v>43549</v>
      </c>
      <c r="I256" t="s">
        <v>34</v>
      </c>
      <c r="J256" t="s">
        <v>16</v>
      </c>
      <c r="K256">
        <v>2</v>
      </c>
      <c r="L256" t="str">
        <f>IF(AND(C256&gt; Sheet1!B262,K256&lt;3), "Misaligned","Aligned")</f>
        <v>Misaligned</v>
      </c>
    </row>
    <row r="257" spans="1:12" x14ac:dyDescent="0.3">
      <c r="A257" t="s">
        <v>35</v>
      </c>
      <c r="B257">
        <v>30</v>
      </c>
      <c r="C257" t="s">
        <v>18</v>
      </c>
      <c r="D257" t="s">
        <v>12</v>
      </c>
      <c r="E257" t="s">
        <v>33</v>
      </c>
      <c r="F257" t="s">
        <v>39</v>
      </c>
      <c r="G257">
        <v>2020</v>
      </c>
      <c r="H257" s="1">
        <v>43845</v>
      </c>
      <c r="I257" t="s">
        <v>26</v>
      </c>
      <c r="J257" t="s">
        <v>16</v>
      </c>
      <c r="K257">
        <v>2</v>
      </c>
      <c r="L257" t="str">
        <f>IF(AND(C257&gt; Sheet1!B263,K257&lt;3), "Misaligned","Aligned")</f>
        <v>Misaligned</v>
      </c>
    </row>
    <row r="258" spans="1:12" x14ac:dyDescent="0.3">
      <c r="A258" t="s">
        <v>44</v>
      </c>
      <c r="B258">
        <v>40</v>
      </c>
      <c r="C258">
        <v>50000</v>
      </c>
      <c r="D258" t="s">
        <v>32</v>
      </c>
      <c r="E258" t="s">
        <v>20</v>
      </c>
      <c r="F258" t="s">
        <v>39</v>
      </c>
      <c r="G258">
        <v>2018</v>
      </c>
      <c r="H258" s="1">
        <v>43195</v>
      </c>
      <c r="I258" t="s">
        <v>15</v>
      </c>
      <c r="J258" t="s">
        <v>16</v>
      </c>
      <c r="K258">
        <v>2</v>
      </c>
      <c r="L258" t="str">
        <f>IF(AND(C258&gt; Sheet1!B264,K258&lt;3), "Misaligned","Aligned")</f>
        <v>Misaligned</v>
      </c>
    </row>
    <row r="259" spans="1:12" x14ac:dyDescent="0.3">
      <c r="A259" t="s">
        <v>35</v>
      </c>
      <c r="B259">
        <v>40</v>
      </c>
      <c r="C259">
        <v>60000</v>
      </c>
      <c r="D259" t="s">
        <v>19</v>
      </c>
      <c r="E259" t="s">
        <v>29</v>
      </c>
      <c r="F259" t="s">
        <v>40</v>
      </c>
      <c r="G259">
        <v>2020</v>
      </c>
      <c r="H259" s="1">
        <v>43845</v>
      </c>
      <c r="I259" t="s">
        <v>26</v>
      </c>
      <c r="J259" t="s">
        <v>30</v>
      </c>
      <c r="K259">
        <v>5</v>
      </c>
      <c r="L259" t="str">
        <f>IF(AND(C259&gt; Sheet1!B265,K259&lt;3), "Misaligned","Aligned")</f>
        <v>Aligned</v>
      </c>
    </row>
    <row r="260" spans="1:12" x14ac:dyDescent="0.3">
      <c r="A260" t="s">
        <v>44</v>
      </c>
      <c r="B260">
        <v>35</v>
      </c>
      <c r="C260">
        <v>55000</v>
      </c>
      <c r="D260" t="s">
        <v>32</v>
      </c>
      <c r="E260" t="s">
        <v>13</v>
      </c>
      <c r="F260" t="s">
        <v>21</v>
      </c>
      <c r="G260">
        <v>2018</v>
      </c>
      <c r="H260" s="1">
        <v>43195</v>
      </c>
      <c r="I260" t="s">
        <v>15</v>
      </c>
      <c r="J260" t="s">
        <v>16</v>
      </c>
      <c r="K260">
        <v>2</v>
      </c>
      <c r="L260" t="str">
        <f>IF(AND(C260&gt; Sheet1!B266,K260&lt;3), "Misaligned","Aligned")</f>
        <v>Misaligned</v>
      </c>
    </row>
    <row r="261" spans="1:12" x14ac:dyDescent="0.3">
      <c r="A261" t="s">
        <v>42</v>
      </c>
      <c r="B261">
        <v>35</v>
      </c>
      <c r="C261" t="s">
        <v>18</v>
      </c>
      <c r="D261" t="s">
        <v>12</v>
      </c>
      <c r="E261" t="s">
        <v>29</v>
      </c>
      <c r="F261" t="s">
        <v>36</v>
      </c>
      <c r="G261">
        <v>2019</v>
      </c>
      <c r="H261" s="1">
        <v>43549</v>
      </c>
      <c r="I261" t="s">
        <v>34</v>
      </c>
      <c r="J261" t="s">
        <v>16</v>
      </c>
      <c r="K261">
        <v>2</v>
      </c>
      <c r="L261" t="str">
        <f>IF(AND(C261&gt; Sheet1!B267,K261&lt;3), "Misaligned","Aligned")</f>
        <v>Misaligned</v>
      </c>
    </row>
    <row r="262" spans="1:12" x14ac:dyDescent="0.3">
      <c r="A262" t="s">
        <v>42</v>
      </c>
      <c r="B262" t="s">
        <v>18</v>
      </c>
      <c r="C262">
        <v>65000</v>
      </c>
      <c r="D262" t="s">
        <v>12</v>
      </c>
      <c r="E262" t="s">
        <v>25</v>
      </c>
      <c r="F262" t="s">
        <v>21</v>
      </c>
      <c r="G262">
        <v>2020</v>
      </c>
      <c r="H262" s="1">
        <v>43845</v>
      </c>
      <c r="I262" t="s">
        <v>26</v>
      </c>
      <c r="J262" t="s">
        <v>38</v>
      </c>
      <c r="K262">
        <v>4</v>
      </c>
      <c r="L262" t="str">
        <f>IF(AND(C262&gt; Sheet1!B268,K262&lt;3), "Misaligned","Aligned")</f>
        <v>Aligned</v>
      </c>
    </row>
    <row r="263" spans="1:12" x14ac:dyDescent="0.3">
      <c r="A263" t="s">
        <v>42</v>
      </c>
      <c r="B263">
        <v>25</v>
      </c>
      <c r="C263" t="s">
        <v>18</v>
      </c>
      <c r="D263" t="s">
        <v>12</v>
      </c>
      <c r="E263" t="s">
        <v>33</v>
      </c>
      <c r="F263" t="s">
        <v>21</v>
      </c>
      <c r="G263">
        <v>2019</v>
      </c>
      <c r="H263" s="1">
        <v>43549</v>
      </c>
      <c r="I263" t="s">
        <v>34</v>
      </c>
      <c r="J263" t="s">
        <v>27</v>
      </c>
      <c r="K263">
        <v>3</v>
      </c>
      <c r="L263" t="str">
        <f>IF(AND(C263&gt; Sheet1!B269,K263&lt;3), "Misaligned","Aligned")</f>
        <v>Aligned</v>
      </c>
    </row>
    <row r="264" spans="1:12" x14ac:dyDescent="0.3">
      <c r="A264" t="s">
        <v>41</v>
      </c>
      <c r="B264">
        <v>35</v>
      </c>
      <c r="C264">
        <v>65000</v>
      </c>
      <c r="D264" t="s">
        <v>12</v>
      </c>
      <c r="E264" t="s">
        <v>20</v>
      </c>
      <c r="F264" t="s">
        <v>39</v>
      </c>
      <c r="G264">
        <v>2018</v>
      </c>
      <c r="H264" s="1">
        <v>43195</v>
      </c>
      <c r="I264" t="s">
        <v>15</v>
      </c>
      <c r="J264" t="s">
        <v>16</v>
      </c>
      <c r="K264">
        <v>2</v>
      </c>
      <c r="L264" t="str">
        <f>IF(AND(C264&gt; Sheet1!B270,K264&lt;3), "Misaligned","Aligned")</f>
        <v>Misaligned</v>
      </c>
    </row>
    <row r="265" spans="1:12" x14ac:dyDescent="0.3">
      <c r="A265" t="s">
        <v>35</v>
      </c>
      <c r="B265">
        <v>35</v>
      </c>
      <c r="C265">
        <v>55000</v>
      </c>
      <c r="D265" t="s">
        <v>19</v>
      </c>
      <c r="E265" t="s">
        <v>25</v>
      </c>
      <c r="F265" t="s">
        <v>40</v>
      </c>
      <c r="G265">
        <v>2019</v>
      </c>
      <c r="H265" s="1">
        <v>43549</v>
      </c>
      <c r="I265" t="s">
        <v>34</v>
      </c>
      <c r="J265" t="s">
        <v>23</v>
      </c>
      <c r="K265">
        <v>1</v>
      </c>
      <c r="L265" t="str">
        <f>IF(AND(C265&gt; Sheet1!B271,K265&lt;3), "Misaligned","Aligned")</f>
        <v>Misaligned</v>
      </c>
    </row>
    <row r="266" spans="1:12" x14ac:dyDescent="0.3">
      <c r="A266" t="s">
        <v>44</v>
      </c>
      <c r="B266">
        <v>50</v>
      </c>
      <c r="C266">
        <v>65000</v>
      </c>
      <c r="D266" t="s">
        <v>12</v>
      </c>
      <c r="E266" t="s">
        <v>20</v>
      </c>
      <c r="F266" t="s">
        <v>14</v>
      </c>
      <c r="G266">
        <v>2020</v>
      </c>
      <c r="H266" s="1">
        <v>43845</v>
      </c>
      <c r="I266" t="s">
        <v>26</v>
      </c>
      <c r="J266" t="s">
        <v>16</v>
      </c>
      <c r="K266">
        <v>2</v>
      </c>
      <c r="L266" t="str">
        <f>IF(AND(C266&gt; Sheet1!B272,K266&lt;3), "Misaligned","Aligned")</f>
        <v>Misaligned</v>
      </c>
    </row>
    <row r="267" spans="1:12" x14ac:dyDescent="0.3">
      <c r="A267" t="s">
        <v>17</v>
      </c>
      <c r="B267">
        <v>30</v>
      </c>
      <c r="C267">
        <v>70000</v>
      </c>
      <c r="D267" t="s">
        <v>19</v>
      </c>
      <c r="E267" t="s">
        <v>13</v>
      </c>
      <c r="F267" t="s">
        <v>40</v>
      </c>
      <c r="G267">
        <v>2020</v>
      </c>
      <c r="H267" s="1">
        <v>43845</v>
      </c>
      <c r="I267" t="s">
        <v>26</v>
      </c>
      <c r="J267" t="s">
        <v>30</v>
      </c>
      <c r="K267">
        <v>5</v>
      </c>
      <c r="L267" t="str">
        <f>IF(AND(C267&gt; Sheet1!B273,K267&lt;3), "Misaligned","Aligned")</f>
        <v>Aligned</v>
      </c>
    </row>
    <row r="268" spans="1:12" x14ac:dyDescent="0.3">
      <c r="A268" t="s">
        <v>43</v>
      </c>
      <c r="B268">
        <v>50</v>
      </c>
      <c r="C268">
        <v>70000</v>
      </c>
      <c r="D268" t="s">
        <v>12</v>
      </c>
      <c r="E268" t="s">
        <v>13</v>
      </c>
      <c r="F268" t="s">
        <v>21</v>
      </c>
      <c r="G268">
        <v>2019</v>
      </c>
      <c r="H268" s="1">
        <v>43549</v>
      </c>
      <c r="I268" t="s">
        <v>34</v>
      </c>
      <c r="J268" t="s">
        <v>30</v>
      </c>
      <c r="K268">
        <v>5</v>
      </c>
      <c r="L268" t="str">
        <f>IF(AND(C268&gt; Sheet1!B274,K268&lt;3), "Misaligned","Aligned")</f>
        <v>Aligned</v>
      </c>
    </row>
    <row r="269" spans="1:12" x14ac:dyDescent="0.3">
      <c r="A269" t="s">
        <v>17</v>
      </c>
      <c r="B269">
        <v>50</v>
      </c>
      <c r="C269">
        <v>70000</v>
      </c>
      <c r="D269" t="s">
        <v>19</v>
      </c>
      <c r="E269" t="s">
        <v>13</v>
      </c>
      <c r="F269" t="s">
        <v>40</v>
      </c>
      <c r="G269">
        <v>2020</v>
      </c>
      <c r="H269" s="1">
        <v>43881</v>
      </c>
      <c r="I269" t="s">
        <v>22</v>
      </c>
      <c r="J269" t="s">
        <v>30</v>
      </c>
      <c r="K269">
        <v>5</v>
      </c>
      <c r="L269" t="str">
        <f>IF(AND(C269&gt; Sheet1!B275,K269&lt;3), "Misaligned","Aligned")</f>
        <v>Aligned</v>
      </c>
    </row>
    <row r="270" spans="1:12" x14ac:dyDescent="0.3">
      <c r="A270" t="s">
        <v>43</v>
      </c>
      <c r="B270">
        <v>40</v>
      </c>
      <c r="C270">
        <v>50000</v>
      </c>
      <c r="D270" t="s">
        <v>32</v>
      </c>
      <c r="E270" t="s">
        <v>20</v>
      </c>
      <c r="F270" t="s">
        <v>39</v>
      </c>
      <c r="G270">
        <v>2018</v>
      </c>
      <c r="H270" s="1">
        <v>43195</v>
      </c>
      <c r="I270" t="s">
        <v>15</v>
      </c>
      <c r="J270" t="s">
        <v>16</v>
      </c>
      <c r="K270">
        <v>2</v>
      </c>
      <c r="L270" t="str">
        <f>IF(AND(C270&gt; Sheet1!B276,K270&lt;3), "Misaligned","Aligned")</f>
        <v>Misaligned</v>
      </c>
    </row>
    <row r="271" spans="1:12" x14ac:dyDescent="0.3">
      <c r="A271" t="s">
        <v>28</v>
      </c>
      <c r="B271">
        <v>25</v>
      </c>
      <c r="C271">
        <v>55000</v>
      </c>
      <c r="D271" t="s">
        <v>12</v>
      </c>
      <c r="E271" t="s">
        <v>25</v>
      </c>
      <c r="F271" t="s">
        <v>14</v>
      </c>
      <c r="G271">
        <v>2018</v>
      </c>
      <c r="H271" s="1">
        <v>43195</v>
      </c>
      <c r="I271" t="s">
        <v>15</v>
      </c>
      <c r="J271" t="s">
        <v>38</v>
      </c>
      <c r="K271">
        <v>4</v>
      </c>
      <c r="L271" t="str">
        <f>IF(AND(C271&gt; Sheet1!B277,K271&lt;3), "Misaligned","Aligned")</f>
        <v>Aligned</v>
      </c>
    </row>
    <row r="272" spans="1:12" x14ac:dyDescent="0.3">
      <c r="A272" t="s">
        <v>17</v>
      </c>
      <c r="B272">
        <v>30</v>
      </c>
      <c r="C272" t="s">
        <v>18</v>
      </c>
      <c r="D272" t="s">
        <v>19</v>
      </c>
      <c r="E272" t="s">
        <v>13</v>
      </c>
      <c r="F272" t="s">
        <v>39</v>
      </c>
      <c r="G272">
        <v>2019</v>
      </c>
      <c r="H272" s="1">
        <v>43549</v>
      </c>
      <c r="I272" t="s">
        <v>34</v>
      </c>
      <c r="J272" t="s">
        <v>23</v>
      </c>
      <c r="K272">
        <v>1</v>
      </c>
      <c r="L272" t="str">
        <f>IF(AND(C272&gt; Sheet1!B278,K272&lt;3), "Misaligned","Aligned")</f>
        <v>Misaligned</v>
      </c>
    </row>
    <row r="273" spans="1:12" x14ac:dyDescent="0.3">
      <c r="A273" t="s">
        <v>24</v>
      </c>
      <c r="B273" t="s">
        <v>18</v>
      </c>
      <c r="C273" t="s">
        <v>18</v>
      </c>
      <c r="D273" t="s">
        <v>32</v>
      </c>
      <c r="E273" t="s">
        <v>25</v>
      </c>
      <c r="F273" t="s">
        <v>14</v>
      </c>
      <c r="G273">
        <v>2020</v>
      </c>
      <c r="H273" s="1">
        <v>43881</v>
      </c>
      <c r="I273" t="s">
        <v>22</v>
      </c>
      <c r="J273" t="s">
        <v>16</v>
      </c>
      <c r="K273">
        <v>2</v>
      </c>
      <c r="L273" t="str">
        <f>IF(AND(C273&gt; Sheet1!B279,K273&lt;3), "Misaligned","Aligned")</f>
        <v>Misaligned</v>
      </c>
    </row>
    <row r="274" spans="1:12" x14ac:dyDescent="0.3">
      <c r="A274" t="s">
        <v>24</v>
      </c>
      <c r="B274" t="s">
        <v>18</v>
      </c>
      <c r="C274">
        <v>50000</v>
      </c>
      <c r="D274" t="s">
        <v>12</v>
      </c>
      <c r="E274" t="s">
        <v>20</v>
      </c>
      <c r="F274" t="s">
        <v>21</v>
      </c>
      <c r="G274">
        <v>2020</v>
      </c>
      <c r="H274" s="1">
        <v>43845</v>
      </c>
      <c r="I274" t="s">
        <v>26</v>
      </c>
      <c r="J274" t="s">
        <v>38</v>
      </c>
      <c r="K274">
        <v>4</v>
      </c>
      <c r="L274" t="str">
        <f>IF(AND(C274&gt; Sheet1!B280,K274&lt;3), "Misaligned","Aligned")</f>
        <v>Aligned</v>
      </c>
    </row>
    <row r="275" spans="1:12" x14ac:dyDescent="0.3">
      <c r="A275" t="s">
        <v>11</v>
      </c>
      <c r="B275">
        <v>35</v>
      </c>
      <c r="C275">
        <v>65000</v>
      </c>
      <c r="D275" t="s">
        <v>12</v>
      </c>
      <c r="E275" t="s">
        <v>25</v>
      </c>
      <c r="F275" t="s">
        <v>14</v>
      </c>
      <c r="G275">
        <v>2019</v>
      </c>
      <c r="H275" s="1">
        <v>43800</v>
      </c>
      <c r="I275" t="s">
        <v>37</v>
      </c>
      <c r="J275" t="s">
        <v>38</v>
      </c>
      <c r="K275">
        <v>4</v>
      </c>
      <c r="L275" t="str">
        <f>IF(AND(C275&gt; Sheet1!B281,K275&lt;3), "Misaligned","Aligned")</f>
        <v>Aligned</v>
      </c>
    </row>
    <row r="276" spans="1:12" x14ac:dyDescent="0.3">
      <c r="A276" t="s">
        <v>35</v>
      </c>
      <c r="B276">
        <v>35</v>
      </c>
      <c r="C276">
        <v>50000</v>
      </c>
      <c r="D276" t="s">
        <v>12</v>
      </c>
      <c r="E276" t="s">
        <v>20</v>
      </c>
      <c r="F276" t="s">
        <v>14</v>
      </c>
      <c r="G276">
        <v>2019</v>
      </c>
      <c r="H276" s="1">
        <v>43800</v>
      </c>
      <c r="I276" t="s">
        <v>37</v>
      </c>
      <c r="J276" t="s">
        <v>16</v>
      </c>
      <c r="K276">
        <v>2</v>
      </c>
      <c r="L276" t="str">
        <f>IF(AND(C276&gt; Sheet1!B282,K276&lt;3), "Misaligned","Aligned")</f>
        <v>Misaligned</v>
      </c>
    </row>
    <row r="277" spans="1:12" x14ac:dyDescent="0.3">
      <c r="A277" t="s">
        <v>43</v>
      </c>
      <c r="B277" t="s">
        <v>18</v>
      </c>
      <c r="C277">
        <v>65000</v>
      </c>
      <c r="D277" t="s">
        <v>19</v>
      </c>
      <c r="E277" t="s">
        <v>20</v>
      </c>
      <c r="F277" t="s">
        <v>14</v>
      </c>
      <c r="G277">
        <v>2019</v>
      </c>
      <c r="H277" s="1">
        <v>43549</v>
      </c>
      <c r="I277" t="s">
        <v>34</v>
      </c>
      <c r="J277" t="s">
        <v>16</v>
      </c>
      <c r="K277">
        <v>2</v>
      </c>
      <c r="L277" t="str">
        <f>IF(AND(C277&gt; Sheet1!B283,K277&lt;3), "Misaligned","Aligned")</f>
        <v>Misaligned</v>
      </c>
    </row>
    <row r="278" spans="1:12" x14ac:dyDescent="0.3">
      <c r="A278" t="s">
        <v>43</v>
      </c>
      <c r="B278">
        <v>35</v>
      </c>
      <c r="C278">
        <v>65000</v>
      </c>
      <c r="D278" t="s">
        <v>19</v>
      </c>
      <c r="E278" t="s">
        <v>33</v>
      </c>
      <c r="F278" t="s">
        <v>40</v>
      </c>
      <c r="G278">
        <v>2020</v>
      </c>
      <c r="H278" s="1">
        <v>43881</v>
      </c>
      <c r="I278" t="s">
        <v>22</v>
      </c>
      <c r="J278" t="s">
        <v>38</v>
      </c>
      <c r="K278">
        <v>4</v>
      </c>
      <c r="L278" t="str">
        <f>IF(AND(C278&gt; Sheet1!B284,K278&lt;3), "Misaligned","Aligned")</f>
        <v>Aligned</v>
      </c>
    </row>
    <row r="279" spans="1:12" x14ac:dyDescent="0.3">
      <c r="A279" t="s">
        <v>35</v>
      </c>
      <c r="B279">
        <v>25</v>
      </c>
      <c r="C279">
        <v>60000</v>
      </c>
      <c r="D279" t="s">
        <v>32</v>
      </c>
      <c r="E279" t="s">
        <v>20</v>
      </c>
      <c r="F279" t="s">
        <v>40</v>
      </c>
      <c r="G279">
        <v>2020</v>
      </c>
      <c r="H279" s="1">
        <v>43881</v>
      </c>
      <c r="I279" t="s">
        <v>22</v>
      </c>
      <c r="J279" t="s">
        <v>38</v>
      </c>
      <c r="K279">
        <v>4</v>
      </c>
      <c r="L279" t="str">
        <f>IF(AND(C279&gt; Sheet1!B285,K279&lt;3), "Misaligned","Aligned")</f>
        <v>Aligned</v>
      </c>
    </row>
    <row r="280" spans="1:12" x14ac:dyDescent="0.3">
      <c r="A280" t="s">
        <v>41</v>
      </c>
      <c r="B280">
        <v>50</v>
      </c>
      <c r="C280" t="s">
        <v>18</v>
      </c>
      <c r="D280" t="s">
        <v>19</v>
      </c>
      <c r="E280" t="s">
        <v>20</v>
      </c>
      <c r="F280" t="s">
        <v>21</v>
      </c>
      <c r="G280">
        <v>2018</v>
      </c>
      <c r="H280" s="1">
        <v>43195</v>
      </c>
      <c r="I280" t="s">
        <v>15</v>
      </c>
      <c r="J280" t="s">
        <v>38</v>
      </c>
      <c r="K280">
        <v>4</v>
      </c>
      <c r="L280" t="str">
        <f>IF(AND(C280&gt; Sheet1!B286,K280&lt;3), "Misaligned","Aligned")</f>
        <v>Aligned</v>
      </c>
    </row>
    <row r="281" spans="1:12" x14ac:dyDescent="0.3">
      <c r="A281" t="s">
        <v>11</v>
      </c>
      <c r="B281">
        <v>35</v>
      </c>
      <c r="C281">
        <v>70000</v>
      </c>
      <c r="D281" t="s">
        <v>19</v>
      </c>
      <c r="E281" t="s">
        <v>29</v>
      </c>
      <c r="F281" t="s">
        <v>14</v>
      </c>
      <c r="G281">
        <v>2020</v>
      </c>
      <c r="H281" s="1">
        <v>43845</v>
      </c>
      <c r="I281" t="s">
        <v>26</v>
      </c>
      <c r="J281" t="s">
        <v>16</v>
      </c>
      <c r="K281">
        <v>2</v>
      </c>
      <c r="L281" t="str">
        <f>IF(AND(C281&gt; Sheet1!B287,K281&lt;3), "Misaligned","Aligned")</f>
        <v>Misaligned</v>
      </c>
    </row>
    <row r="282" spans="1:12" x14ac:dyDescent="0.3">
      <c r="A282" t="s">
        <v>41</v>
      </c>
      <c r="B282">
        <v>40</v>
      </c>
      <c r="C282">
        <v>65000</v>
      </c>
      <c r="D282" t="s">
        <v>12</v>
      </c>
      <c r="E282" t="s">
        <v>13</v>
      </c>
      <c r="F282" t="s">
        <v>36</v>
      </c>
      <c r="G282">
        <v>2020</v>
      </c>
      <c r="H282" s="1">
        <v>43881</v>
      </c>
      <c r="I282" t="s">
        <v>22</v>
      </c>
      <c r="J282" t="s">
        <v>38</v>
      </c>
      <c r="K282">
        <v>4</v>
      </c>
      <c r="L282" t="str">
        <f>IF(AND(C282&gt; Sheet1!B288,K282&lt;3), "Misaligned","Aligned")</f>
        <v>Aligned</v>
      </c>
    </row>
    <row r="283" spans="1:12" x14ac:dyDescent="0.3">
      <c r="A283" t="s">
        <v>41</v>
      </c>
      <c r="B283">
        <v>35</v>
      </c>
      <c r="C283">
        <v>60000</v>
      </c>
      <c r="D283" t="s">
        <v>12</v>
      </c>
      <c r="E283" t="s">
        <v>33</v>
      </c>
      <c r="F283" t="s">
        <v>21</v>
      </c>
      <c r="G283">
        <v>2019</v>
      </c>
      <c r="H283" s="1">
        <v>43800</v>
      </c>
      <c r="I283" t="s">
        <v>37</v>
      </c>
      <c r="J283" t="s">
        <v>30</v>
      </c>
      <c r="K283">
        <v>5</v>
      </c>
      <c r="L283" t="str">
        <f>IF(AND(C283&gt; Sheet1!B289,K283&lt;3), "Misaligned","Aligned")</f>
        <v>Aligned</v>
      </c>
    </row>
    <row r="284" spans="1:12" x14ac:dyDescent="0.3">
      <c r="A284" t="s">
        <v>41</v>
      </c>
      <c r="B284">
        <v>30</v>
      </c>
      <c r="C284" t="s">
        <v>18</v>
      </c>
      <c r="D284" t="s">
        <v>12</v>
      </c>
      <c r="E284" t="s">
        <v>33</v>
      </c>
      <c r="F284" t="s">
        <v>14</v>
      </c>
      <c r="G284">
        <v>2020</v>
      </c>
      <c r="H284" s="1">
        <v>43845</v>
      </c>
      <c r="I284" t="s">
        <v>26</v>
      </c>
      <c r="J284" t="s">
        <v>16</v>
      </c>
      <c r="K284">
        <v>2</v>
      </c>
      <c r="L284" t="str">
        <f>IF(AND(C284&gt; Sheet1!B290,K284&lt;3), "Misaligned","Aligned")</f>
        <v>Misaligned</v>
      </c>
    </row>
    <row r="285" spans="1:12" x14ac:dyDescent="0.3">
      <c r="A285" t="s">
        <v>35</v>
      </c>
      <c r="B285">
        <v>25</v>
      </c>
      <c r="C285">
        <v>70000</v>
      </c>
      <c r="D285" t="s">
        <v>12</v>
      </c>
      <c r="E285" t="s">
        <v>33</v>
      </c>
      <c r="F285" t="s">
        <v>14</v>
      </c>
      <c r="G285">
        <v>2020</v>
      </c>
      <c r="H285" s="1">
        <v>43845</v>
      </c>
      <c r="I285" t="s">
        <v>26</v>
      </c>
      <c r="J285" t="s">
        <v>30</v>
      </c>
      <c r="K285">
        <v>5</v>
      </c>
      <c r="L285" t="str">
        <f>IF(AND(C285&gt; Sheet1!B291,K285&lt;3), "Misaligned","Aligned")</f>
        <v>Aligned</v>
      </c>
    </row>
    <row r="286" spans="1:12" x14ac:dyDescent="0.3">
      <c r="A286" t="s">
        <v>41</v>
      </c>
      <c r="B286">
        <v>30</v>
      </c>
      <c r="C286">
        <v>65000</v>
      </c>
      <c r="D286" t="s">
        <v>12</v>
      </c>
      <c r="E286" t="s">
        <v>29</v>
      </c>
      <c r="F286" t="s">
        <v>40</v>
      </c>
      <c r="G286">
        <v>2019</v>
      </c>
      <c r="H286" s="1">
        <v>43549</v>
      </c>
      <c r="I286" t="s">
        <v>34</v>
      </c>
      <c r="J286" t="s">
        <v>27</v>
      </c>
      <c r="K286">
        <v>3</v>
      </c>
      <c r="L286" t="str">
        <f>IF(AND(C286&gt; Sheet1!B292,K286&lt;3), "Misaligned","Aligned")</f>
        <v>Aligned</v>
      </c>
    </row>
    <row r="287" spans="1:12" x14ac:dyDescent="0.3">
      <c r="A287" t="s">
        <v>24</v>
      </c>
      <c r="B287">
        <v>30</v>
      </c>
      <c r="C287">
        <v>65000</v>
      </c>
      <c r="D287" t="s">
        <v>12</v>
      </c>
      <c r="E287" t="s">
        <v>20</v>
      </c>
      <c r="F287" t="s">
        <v>21</v>
      </c>
      <c r="G287">
        <v>2020</v>
      </c>
      <c r="H287" s="1">
        <v>43881</v>
      </c>
      <c r="I287" t="s">
        <v>22</v>
      </c>
      <c r="J287" t="s">
        <v>16</v>
      </c>
      <c r="K287">
        <v>2</v>
      </c>
      <c r="L287" t="str">
        <f>IF(AND(C287&gt; Sheet1!B293,K287&lt;3), "Misaligned","Aligned")</f>
        <v>Misaligned</v>
      </c>
    </row>
    <row r="288" spans="1:12" x14ac:dyDescent="0.3">
      <c r="A288" t="s">
        <v>42</v>
      </c>
      <c r="B288">
        <v>40</v>
      </c>
      <c r="C288">
        <v>50000</v>
      </c>
      <c r="D288" t="s">
        <v>12</v>
      </c>
      <c r="E288" t="s">
        <v>13</v>
      </c>
      <c r="F288" t="s">
        <v>14</v>
      </c>
      <c r="G288">
        <v>2019</v>
      </c>
      <c r="H288" s="1">
        <v>43549</v>
      </c>
      <c r="I288" t="s">
        <v>34</v>
      </c>
      <c r="J288" t="s">
        <v>27</v>
      </c>
      <c r="K288">
        <v>3</v>
      </c>
      <c r="L288" t="str">
        <f>IF(AND(C288&gt; Sheet1!B294,K288&lt;3), "Misaligned","Aligned")</f>
        <v>Aligned</v>
      </c>
    </row>
    <row r="289" spans="1:12" x14ac:dyDescent="0.3">
      <c r="A289" t="s">
        <v>28</v>
      </c>
      <c r="B289">
        <v>25</v>
      </c>
      <c r="C289">
        <v>50000</v>
      </c>
      <c r="D289" t="s">
        <v>32</v>
      </c>
      <c r="E289" t="s">
        <v>25</v>
      </c>
      <c r="F289" t="s">
        <v>14</v>
      </c>
      <c r="G289">
        <v>2020</v>
      </c>
      <c r="H289" s="1">
        <v>43881</v>
      </c>
      <c r="I289" t="s">
        <v>22</v>
      </c>
      <c r="J289" t="s">
        <v>38</v>
      </c>
      <c r="K289">
        <v>4</v>
      </c>
      <c r="L289" t="str">
        <f>IF(AND(C289&gt; Sheet1!B295,K289&lt;3), "Misaligned","Aligned")</f>
        <v>Aligned</v>
      </c>
    </row>
    <row r="290" spans="1:12" x14ac:dyDescent="0.3">
      <c r="A290" t="s">
        <v>43</v>
      </c>
      <c r="B290">
        <v>25</v>
      </c>
      <c r="C290" t="s">
        <v>18</v>
      </c>
      <c r="D290" t="s">
        <v>32</v>
      </c>
      <c r="E290" t="s">
        <v>20</v>
      </c>
      <c r="F290" t="s">
        <v>21</v>
      </c>
      <c r="G290">
        <v>2018</v>
      </c>
      <c r="H290" s="1">
        <v>43195</v>
      </c>
      <c r="I290" t="s">
        <v>15</v>
      </c>
      <c r="J290" t="s">
        <v>38</v>
      </c>
      <c r="K290">
        <v>4</v>
      </c>
      <c r="L290" t="str">
        <f>IF(AND(C290&gt; Sheet1!B296,K290&lt;3), "Misaligned","Aligned")</f>
        <v>Aligned</v>
      </c>
    </row>
    <row r="291" spans="1:12" x14ac:dyDescent="0.3">
      <c r="A291" t="s">
        <v>43</v>
      </c>
      <c r="B291">
        <v>25</v>
      </c>
      <c r="C291">
        <v>70000</v>
      </c>
      <c r="D291" t="s">
        <v>32</v>
      </c>
      <c r="E291" t="s">
        <v>29</v>
      </c>
      <c r="F291" t="s">
        <v>36</v>
      </c>
      <c r="G291">
        <v>2019</v>
      </c>
      <c r="H291" s="1">
        <v>43549</v>
      </c>
      <c r="I291" t="s">
        <v>34</v>
      </c>
      <c r="J291" t="s">
        <v>23</v>
      </c>
      <c r="K291">
        <v>1</v>
      </c>
      <c r="L291" t="str">
        <f>IF(AND(C291&gt; Sheet1!B297,K291&lt;3), "Misaligned","Aligned")</f>
        <v>Misaligned</v>
      </c>
    </row>
    <row r="292" spans="1:12" x14ac:dyDescent="0.3">
      <c r="A292" t="s">
        <v>28</v>
      </c>
      <c r="B292">
        <v>25</v>
      </c>
      <c r="C292">
        <v>65000</v>
      </c>
      <c r="D292" t="s">
        <v>32</v>
      </c>
      <c r="E292" t="s">
        <v>20</v>
      </c>
      <c r="F292" t="s">
        <v>21</v>
      </c>
      <c r="G292">
        <v>2019</v>
      </c>
      <c r="H292" s="1">
        <v>43549</v>
      </c>
      <c r="I292" t="s">
        <v>34</v>
      </c>
      <c r="J292" t="s">
        <v>38</v>
      </c>
      <c r="K292">
        <v>4</v>
      </c>
      <c r="L292" t="str">
        <f>IF(AND(C292&gt; Sheet1!B298,K292&lt;3), "Misaligned","Aligned")</f>
        <v>Aligned</v>
      </c>
    </row>
    <row r="293" spans="1:12" x14ac:dyDescent="0.3">
      <c r="A293" t="s">
        <v>35</v>
      </c>
      <c r="B293">
        <v>25</v>
      </c>
      <c r="C293" t="s">
        <v>18</v>
      </c>
      <c r="D293" t="s">
        <v>12</v>
      </c>
      <c r="E293" t="s">
        <v>20</v>
      </c>
      <c r="F293" t="s">
        <v>21</v>
      </c>
      <c r="G293">
        <v>2019</v>
      </c>
      <c r="H293" s="1">
        <v>43800</v>
      </c>
      <c r="I293" t="s">
        <v>37</v>
      </c>
      <c r="J293" t="s">
        <v>27</v>
      </c>
      <c r="K293">
        <v>3</v>
      </c>
      <c r="L293" t="str">
        <f>IF(AND(C293&gt; Sheet1!B299,K293&lt;3), "Misaligned","Aligned")</f>
        <v>Aligned</v>
      </c>
    </row>
    <row r="294" spans="1:12" x14ac:dyDescent="0.3">
      <c r="A294" t="s">
        <v>17</v>
      </c>
      <c r="B294">
        <v>40</v>
      </c>
      <c r="C294" t="s">
        <v>18</v>
      </c>
      <c r="D294" t="s">
        <v>32</v>
      </c>
      <c r="E294" t="s">
        <v>29</v>
      </c>
      <c r="F294" t="s">
        <v>36</v>
      </c>
      <c r="G294">
        <v>2019</v>
      </c>
      <c r="H294" s="1">
        <v>43549</v>
      </c>
      <c r="I294" t="s">
        <v>34</v>
      </c>
      <c r="J294" t="s">
        <v>38</v>
      </c>
      <c r="K294">
        <v>4</v>
      </c>
      <c r="L294" t="str">
        <f>IF(AND(C294&gt; Sheet1!B300,K294&lt;3), "Misaligned","Aligned")</f>
        <v>Aligned</v>
      </c>
    </row>
    <row r="295" spans="1:12" x14ac:dyDescent="0.3">
      <c r="A295" t="s">
        <v>35</v>
      </c>
      <c r="B295">
        <v>35</v>
      </c>
      <c r="C295">
        <v>55000</v>
      </c>
      <c r="D295" t="s">
        <v>12</v>
      </c>
      <c r="E295" t="s">
        <v>33</v>
      </c>
      <c r="F295" t="s">
        <v>21</v>
      </c>
      <c r="G295">
        <v>2020</v>
      </c>
      <c r="H295" s="1">
        <v>43881</v>
      </c>
      <c r="I295" t="s">
        <v>22</v>
      </c>
      <c r="J295" t="s">
        <v>16</v>
      </c>
      <c r="K295">
        <v>2</v>
      </c>
      <c r="L295" t="str">
        <f>IF(AND(C295&gt; Sheet1!B301,K295&lt;3), "Misaligned","Aligned")</f>
        <v>Misaligned</v>
      </c>
    </row>
    <row r="296" spans="1:12" x14ac:dyDescent="0.3">
      <c r="A296" t="s">
        <v>43</v>
      </c>
      <c r="B296">
        <v>30</v>
      </c>
      <c r="C296">
        <v>50000</v>
      </c>
      <c r="D296" t="s">
        <v>32</v>
      </c>
      <c r="E296" t="s">
        <v>33</v>
      </c>
      <c r="F296" t="s">
        <v>14</v>
      </c>
      <c r="G296">
        <v>2019</v>
      </c>
      <c r="H296" s="1">
        <v>43800</v>
      </c>
      <c r="I296" t="s">
        <v>37</v>
      </c>
      <c r="J296" t="s">
        <v>38</v>
      </c>
      <c r="K296">
        <v>4</v>
      </c>
      <c r="L296" t="str">
        <f>IF(AND(C296&gt; Sheet1!B302,K296&lt;3), "Misaligned","Aligned")</f>
        <v>Aligned</v>
      </c>
    </row>
    <row r="297" spans="1:12" x14ac:dyDescent="0.3">
      <c r="A297" t="s">
        <v>43</v>
      </c>
      <c r="B297">
        <v>25</v>
      </c>
      <c r="C297">
        <v>70000</v>
      </c>
      <c r="D297" t="s">
        <v>19</v>
      </c>
      <c r="E297" t="s">
        <v>13</v>
      </c>
      <c r="F297" t="s">
        <v>21</v>
      </c>
      <c r="G297">
        <v>2019</v>
      </c>
      <c r="H297" s="1">
        <v>43549</v>
      </c>
      <c r="I297" t="s">
        <v>34</v>
      </c>
      <c r="J297" t="s">
        <v>23</v>
      </c>
      <c r="K297">
        <v>1</v>
      </c>
      <c r="L297" t="str">
        <f>IF(AND(C297&gt; Sheet1!B303,K297&lt;3), "Misaligned","Aligned")</f>
        <v>Misaligned</v>
      </c>
    </row>
    <row r="298" spans="1:12" x14ac:dyDescent="0.3">
      <c r="A298" t="s">
        <v>28</v>
      </c>
      <c r="B298">
        <v>35</v>
      </c>
      <c r="C298">
        <v>65000</v>
      </c>
      <c r="D298" t="s">
        <v>32</v>
      </c>
      <c r="E298" t="s">
        <v>13</v>
      </c>
      <c r="F298" t="s">
        <v>36</v>
      </c>
      <c r="G298">
        <v>2019</v>
      </c>
      <c r="H298" s="1">
        <v>43549</v>
      </c>
      <c r="I298" t="s">
        <v>34</v>
      </c>
      <c r="J298" t="s">
        <v>38</v>
      </c>
      <c r="K298">
        <v>4</v>
      </c>
      <c r="L298" t="str">
        <f>IF(AND(C298&gt; Sheet1!B304,K298&lt;3), "Misaligned","Aligned")</f>
        <v>Aligned</v>
      </c>
    </row>
    <row r="299" spans="1:12" x14ac:dyDescent="0.3">
      <c r="A299" t="s">
        <v>41</v>
      </c>
      <c r="B299">
        <v>35</v>
      </c>
      <c r="C299" t="s">
        <v>18</v>
      </c>
      <c r="D299" t="s">
        <v>32</v>
      </c>
      <c r="E299" t="s">
        <v>33</v>
      </c>
      <c r="F299" t="s">
        <v>39</v>
      </c>
      <c r="G299">
        <v>2018</v>
      </c>
      <c r="H299" s="1">
        <v>43195</v>
      </c>
      <c r="I299" t="s">
        <v>15</v>
      </c>
      <c r="J299" t="s">
        <v>27</v>
      </c>
      <c r="K299">
        <v>3</v>
      </c>
      <c r="L299" t="str">
        <f>IF(AND(C299&gt; Sheet1!B305,K299&lt;3), "Misaligned","Aligned")</f>
        <v>Aligned</v>
      </c>
    </row>
    <row r="300" spans="1:12" x14ac:dyDescent="0.3">
      <c r="A300" t="s">
        <v>35</v>
      </c>
      <c r="B300">
        <v>30</v>
      </c>
      <c r="C300">
        <v>65000</v>
      </c>
      <c r="D300" t="s">
        <v>12</v>
      </c>
      <c r="E300" t="s">
        <v>25</v>
      </c>
      <c r="F300" t="s">
        <v>21</v>
      </c>
      <c r="G300">
        <v>2019</v>
      </c>
      <c r="H300" s="1">
        <v>43549</v>
      </c>
      <c r="I300" t="s">
        <v>34</v>
      </c>
      <c r="J300" t="s">
        <v>27</v>
      </c>
      <c r="K300">
        <v>3</v>
      </c>
      <c r="L300" t="str">
        <f>IF(AND(C300&gt; Sheet1!B306,K300&lt;3), "Misaligned","Aligned")</f>
        <v>Aligned</v>
      </c>
    </row>
    <row r="301" spans="1:12" x14ac:dyDescent="0.3">
      <c r="A301" t="s">
        <v>44</v>
      </c>
      <c r="B301">
        <v>40</v>
      </c>
      <c r="C301">
        <v>55000</v>
      </c>
      <c r="D301" t="s">
        <v>32</v>
      </c>
      <c r="E301" t="s">
        <v>20</v>
      </c>
      <c r="F301" t="s">
        <v>40</v>
      </c>
      <c r="G301">
        <v>2020</v>
      </c>
      <c r="H301" s="1">
        <v>43845</v>
      </c>
      <c r="I301" t="s">
        <v>26</v>
      </c>
      <c r="J301" t="s">
        <v>38</v>
      </c>
      <c r="K301">
        <v>4</v>
      </c>
      <c r="L301" t="str">
        <f>IF(AND(C301&gt; Sheet1!B307,K301&lt;3), "Misaligned","Aligned")</f>
        <v>Aligned</v>
      </c>
    </row>
    <row r="302" spans="1:12" x14ac:dyDescent="0.3">
      <c r="A302" t="s">
        <v>28</v>
      </c>
      <c r="B302" t="s">
        <v>18</v>
      </c>
      <c r="C302">
        <v>70000</v>
      </c>
      <c r="D302" t="s">
        <v>19</v>
      </c>
      <c r="E302" t="s">
        <v>25</v>
      </c>
      <c r="F302" t="s">
        <v>14</v>
      </c>
      <c r="G302">
        <v>2019</v>
      </c>
      <c r="H302" s="1">
        <v>43800</v>
      </c>
      <c r="I302" t="s">
        <v>37</v>
      </c>
      <c r="J302" t="s">
        <v>27</v>
      </c>
      <c r="K302">
        <v>3</v>
      </c>
      <c r="L302" t="str">
        <f>IF(AND(C302&gt; Sheet1!B308,K302&lt;3), "Misaligned","Aligned")</f>
        <v>Aligned</v>
      </c>
    </row>
    <row r="303" spans="1:12" x14ac:dyDescent="0.3">
      <c r="A303" t="s">
        <v>24</v>
      </c>
      <c r="B303" t="s">
        <v>18</v>
      </c>
      <c r="C303" t="s">
        <v>18</v>
      </c>
      <c r="D303" t="s">
        <v>12</v>
      </c>
      <c r="E303" t="s">
        <v>20</v>
      </c>
      <c r="F303" t="s">
        <v>14</v>
      </c>
      <c r="G303">
        <v>2020</v>
      </c>
      <c r="H303" s="1">
        <v>43845</v>
      </c>
      <c r="I303" t="s">
        <v>26</v>
      </c>
      <c r="J303" t="s">
        <v>27</v>
      </c>
      <c r="K303">
        <v>3</v>
      </c>
      <c r="L303" t="str">
        <f>IF(AND(C303&gt; Sheet1!B309,K303&lt;3), "Misaligned","Aligned")</f>
        <v>Aligned</v>
      </c>
    </row>
    <row r="304" spans="1:12" x14ac:dyDescent="0.3">
      <c r="A304" t="s">
        <v>43</v>
      </c>
      <c r="B304">
        <v>35</v>
      </c>
      <c r="C304">
        <v>65000</v>
      </c>
      <c r="D304" t="s">
        <v>12</v>
      </c>
      <c r="E304" t="s">
        <v>33</v>
      </c>
      <c r="F304" t="s">
        <v>40</v>
      </c>
      <c r="G304">
        <v>2019</v>
      </c>
      <c r="H304" s="1">
        <v>43800</v>
      </c>
      <c r="I304" t="s">
        <v>37</v>
      </c>
      <c r="J304" t="s">
        <v>23</v>
      </c>
      <c r="K304">
        <v>1</v>
      </c>
      <c r="L304" t="str">
        <f>IF(AND(C304&gt; Sheet1!B310,K304&lt;3), "Misaligned","Aligned")</f>
        <v>Misaligned</v>
      </c>
    </row>
    <row r="305" spans="1:12" x14ac:dyDescent="0.3">
      <c r="A305" t="s">
        <v>28</v>
      </c>
      <c r="B305">
        <v>50</v>
      </c>
      <c r="C305">
        <v>50000</v>
      </c>
      <c r="D305" t="s">
        <v>32</v>
      </c>
      <c r="E305" t="s">
        <v>13</v>
      </c>
      <c r="F305" t="s">
        <v>40</v>
      </c>
      <c r="G305">
        <v>2018</v>
      </c>
      <c r="H305" s="1">
        <v>43195</v>
      </c>
      <c r="I305" t="s">
        <v>15</v>
      </c>
      <c r="J305" t="s">
        <v>16</v>
      </c>
      <c r="K305">
        <v>2</v>
      </c>
      <c r="L305" t="str">
        <f>IF(AND(C305&gt; Sheet1!B311,K305&lt;3), "Misaligned","Aligned")</f>
        <v>Misaligned</v>
      </c>
    </row>
    <row r="306" spans="1:12" x14ac:dyDescent="0.3">
      <c r="A306" t="s">
        <v>35</v>
      </c>
      <c r="B306">
        <v>50</v>
      </c>
      <c r="C306">
        <v>55000</v>
      </c>
      <c r="D306" t="s">
        <v>12</v>
      </c>
      <c r="E306" t="s">
        <v>13</v>
      </c>
      <c r="F306" t="s">
        <v>21</v>
      </c>
      <c r="G306">
        <v>2019</v>
      </c>
      <c r="H306" s="1">
        <v>43549</v>
      </c>
      <c r="I306" t="s">
        <v>34</v>
      </c>
      <c r="J306" t="s">
        <v>23</v>
      </c>
      <c r="K306">
        <v>1</v>
      </c>
      <c r="L306" t="str">
        <f>IF(AND(C306&gt; Sheet1!B312,K306&lt;3), "Misaligned","Aligned")</f>
        <v>Misaligned</v>
      </c>
    </row>
    <row r="307" spans="1:12" x14ac:dyDescent="0.3">
      <c r="A307" t="s">
        <v>43</v>
      </c>
      <c r="B307">
        <v>30</v>
      </c>
      <c r="C307">
        <v>70000</v>
      </c>
      <c r="D307" t="s">
        <v>12</v>
      </c>
      <c r="E307" t="s">
        <v>25</v>
      </c>
      <c r="F307" t="s">
        <v>40</v>
      </c>
      <c r="G307">
        <v>2019</v>
      </c>
      <c r="H307" s="1">
        <v>43549</v>
      </c>
      <c r="I307" t="s">
        <v>34</v>
      </c>
      <c r="J307" t="s">
        <v>30</v>
      </c>
      <c r="K307">
        <v>5</v>
      </c>
      <c r="L307" t="str">
        <f>IF(AND(C307&gt; Sheet1!B313,K307&lt;3), "Misaligned","Aligned")</f>
        <v>Aligned</v>
      </c>
    </row>
    <row r="308" spans="1:12" x14ac:dyDescent="0.3">
      <c r="A308" t="s">
        <v>17</v>
      </c>
      <c r="B308" t="s">
        <v>18</v>
      </c>
      <c r="C308">
        <v>55000</v>
      </c>
      <c r="D308" t="s">
        <v>12</v>
      </c>
      <c r="E308" t="s">
        <v>13</v>
      </c>
      <c r="F308" t="s">
        <v>39</v>
      </c>
      <c r="G308">
        <v>2019</v>
      </c>
      <c r="H308" s="1">
        <v>43549</v>
      </c>
      <c r="I308" t="s">
        <v>34</v>
      </c>
      <c r="J308" t="s">
        <v>23</v>
      </c>
      <c r="K308">
        <v>1</v>
      </c>
      <c r="L308" t="str">
        <f>IF(AND(C308&gt; Sheet1!B314,K308&lt;3), "Misaligned","Aligned")</f>
        <v>Misaligned</v>
      </c>
    </row>
    <row r="309" spans="1:12" x14ac:dyDescent="0.3">
      <c r="A309" t="s">
        <v>28</v>
      </c>
      <c r="B309">
        <v>35</v>
      </c>
      <c r="C309">
        <v>50000</v>
      </c>
      <c r="D309" t="s">
        <v>12</v>
      </c>
      <c r="E309" t="s">
        <v>33</v>
      </c>
      <c r="F309" t="s">
        <v>36</v>
      </c>
      <c r="G309">
        <v>2019</v>
      </c>
      <c r="H309" s="1">
        <v>43800</v>
      </c>
      <c r="I309" t="s">
        <v>37</v>
      </c>
      <c r="J309" t="s">
        <v>38</v>
      </c>
      <c r="K309">
        <v>4</v>
      </c>
      <c r="L309" t="str">
        <f>IF(AND(C309&gt; Sheet1!B315,K309&lt;3), "Misaligned","Aligned")</f>
        <v>Aligned</v>
      </c>
    </row>
    <row r="310" spans="1:12" x14ac:dyDescent="0.3">
      <c r="A310" t="s">
        <v>11</v>
      </c>
      <c r="B310">
        <v>40</v>
      </c>
      <c r="C310">
        <v>70000</v>
      </c>
      <c r="D310" t="s">
        <v>12</v>
      </c>
      <c r="E310" t="s">
        <v>25</v>
      </c>
      <c r="F310" t="s">
        <v>40</v>
      </c>
      <c r="G310">
        <v>2019</v>
      </c>
      <c r="H310" s="1">
        <v>43549</v>
      </c>
      <c r="I310" t="s">
        <v>34</v>
      </c>
      <c r="J310" t="s">
        <v>16</v>
      </c>
      <c r="K310">
        <v>2</v>
      </c>
      <c r="L310" t="str">
        <f>IF(AND(C310&gt; Sheet1!B316,K310&lt;3), "Misaligned","Aligned")</f>
        <v>Misaligned</v>
      </c>
    </row>
    <row r="311" spans="1:12" x14ac:dyDescent="0.3">
      <c r="A311" t="s">
        <v>43</v>
      </c>
      <c r="B311" t="s">
        <v>18</v>
      </c>
      <c r="C311">
        <v>55000</v>
      </c>
      <c r="D311" t="s">
        <v>12</v>
      </c>
      <c r="E311" t="s">
        <v>20</v>
      </c>
      <c r="F311" t="s">
        <v>40</v>
      </c>
      <c r="G311">
        <v>2020</v>
      </c>
      <c r="H311" s="1">
        <v>43845</v>
      </c>
      <c r="I311" t="s">
        <v>26</v>
      </c>
      <c r="J311" t="s">
        <v>38</v>
      </c>
      <c r="K311">
        <v>4</v>
      </c>
      <c r="L311" t="str">
        <f>IF(AND(C311&gt; Sheet1!B317,K311&lt;3), "Misaligned","Aligned")</f>
        <v>Aligned</v>
      </c>
    </row>
    <row r="312" spans="1:12" x14ac:dyDescent="0.3">
      <c r="A312" t="s">
        <v>35</v>
      </c>
      <c r="B312">
        <v>35</v>
      </c>
      <c r="C312">
        <v>60000</v>
      </c>
      <c r="D312" t="s">
        <v>19</v>
      </c>
      <c r="E312" t="s">
        <v>13</v>
      </c>
      <c r="F312" t="s">
        <v>39</v>
      </c>
      <c r="G312">
        <v>2019</v>
      </c>
      <c r="H312" s="1">
        <v>43549</v>
      </c>
      <c r="I312" t="s">
        <v>34</v>
      </c>
      <c r="J312" t="s">
        <v>30</v>
      </c>
      <c r="K312">
        <v>5</v>
      </c>
      <c r="L312" t="str">
        <f>IF(AND(C312&gt; Sheet1!B318,K312&lt;3), "Misaligned","Aligned")</f>
        <v>Aligned</v>
      </c>
    </row>
    <row r="313" spans="1:12" x14ac:dyDescent="0.3">
      <c r="A313" t="s">
        <v>42</v>
      </c>
      <c r="B313">
        <v>35</v>
      </c>
      <c r="C313">
        <v>50000</v>
      </c>
      <c r="D313" t="s">
        <v>32</v>
      </c>
      <c r="E313" t="s">
        <v>29</v>
      </c>
      <c r="F313" t="s">
        <v>14</v>
      </c>
      <c r="G313">
        <v>2018</v>
      </c>
      <c r="H313" s="1">
        <v>43195</v>
      </c>
      <c r="I313" t="s">
        <v>15</v>
      </c>
      <c r="J313" t="s">
        <v>16</v>
      </c>
      <c r="K313">
        <v>2</v>
      </c>
      <c r="L313" t="str">
        <f>IF(AND(C313&gt; Sheet1!B319,K313&lt;3), "Misaligned","Aligned")</f>
        <v>Misaligned</v>
      </c>
    </row>
    <row r="314" spans="1:12" x14ac:dyDescent="0.3">
      <c r="A314" t="s">
        <v>44</v>
      </c>
      <c r="B314">
        <v>25</v>
      </c>
      <c r="C314">
        <v>50000</v>
      </c>
      <c r="D314" t="s">
        <v>19</v>
      </c>
      <c r="E314" t="s">
        <v>13</v>
      </c>
      <c r="F314" t="s">
        <v>14</v>
      </c>
      <c r="G314">
        <v>2020</v>
      </c>
      <c r="H314" s="1">
        <v>43845</v>
      </c>
      <c r="I314" t="s">
        <v>26</v>
      </c>
      <c r="J314" t="s">
        <v>27</v>
      </c>
      <c r="K314">
        <v>3</v>
      </c>
      <c r="L314" t="str">
        <f>IF(AND(C314&gt; Sheet1!B320,K314&lt;3), "Misaligned","Aligned")</f>
        <v>Aligned</v>
      </c>
    </row>
    <row r="315" spans="1:12" x14ac:dyDescent="0.3">
      <c r="A315" t="s">
        <v>31</v>
      </c>
      <c r="B315">
        <v>40</v>
      </c>
      <c r="C315">
        <v>50000</v>
      </c>
      <c r="D315" t="s">
        <v>12</v>
      </c>
      <c r="E315" t="s">
        <v>20</v>
      </c>
      <c r="F315" t="s">
        <v>21</v>
      </c>
      <c r="G315">
        <v>2019</v>
      </c>
      <c r="H315" s="1">
        <v>43549</v>
      </c>
      <c r="I315" t="s">
        <v>34</v>
      </c>
      <c r="J315" t="s">
        <v>23</v>
      </c>
      <c r="K315">
        <v>1</v>
      </c>
      <c r="L315" t="str">
        <f>IF(AND(C315&gt; Sheet1!B321,K315&lt;3), "Misaligned","Aligned")</f>
        <v>Misaligned</v>
      </c>
    </row>
    <row r="316" spans="1:12" x14ac:dyDescent="0.3">
      <c r="A316" t="s">
        <v>41</v>
      </c>
      <c r="B316">
        <v>25</v>
      </c>
      <c r="C316">
        <v>60000</v>
      </c>
      <c r="D316" t="s">
        <v>12</v>
      </c>
      <c r="E316" t="s">
        <v>25</v>
      </c>
      <c r="F316" t="s">
        <v>39</v>
      </c>
      <c r="G316">
        <v>2019</v>
      </c>
      <c r="H316" s="1">
        <v>43549</v>
      </c>
      <c r="I316" t="s">
        <v>34</v>
      </c>
      <c r="J316" t="s">
        <v>38</v>
      </c>
      <c r="K316">
        <v>4</v>
      </c>
      <c r="L316" t="str">
        <f>IF(AND(C316&gt; Sheet1!B322,K316&lt;3), "Misaligned","Aligned")</f>
        <v>Aligned</v>
      </c>
    </row>
    <row r="317" spans="1:12" x14ac:dyDescent="0.3">
      <c r="A317" t="s">
        <v>31</v>
      </c>
      <c r="B317">
        <v>30</v>
      </c>
      <c r="C317">
        <v>60000</v>
      </c>
      <c r="D317" t="s">
        <v>32</v>
      </c>
      <c r="E317" t="s">
        <v>20</v>
      </c>
      <c r="F317" t="s">
        <v>36</v>
      </c>
      <c r="G317">
        <v>2020</v>
      </c>
      <c r="H317" s="1">
        <v>43881</v>
      </c>
      <c r="I317" t="s">
        <v>22</v>
      </c>
      <c r="J317" t="s">
        <v>30</v>
      </c>
      <c r="K317">
        <v>5</v>
      </c>
      <c r="L317" t="str">
        <f>IF(AND(C317&gt; Sheet1!B323,K317&lt;3), "Misaligned","Aligned")</f>
        <v>Aligned</v>
      </c>
    </row>
    <row r="318" spans="1:12" x14ac:dyDescent="0.3">
      <c r="A318" t="s">
        <v>35</v>
      </c>
      <c r="B318">
        <v>25</v>
      </c>
      <c r="C318">
        <v>65000</v>
      </c>
      <c r="D318" t="s">
        <v>19</v>
      </c>
      <c r="E318" t="s">
        <v>29</v>
      </c>
      <c r="F318" t="s">
        <v>36</v>
      </c>
      <c r="G318">
        <v>2019</v>
      </c>
      <c r="H318" s="1">
        <v>43800</v>
      </c>
      <c r="I318" t="s">
        <v>37</v>
      </c>
      <c r="J318" t="s">
        <v>27</v>
      </c>
      <c r="K318">
        <v>3</v>
      </c>
      <c r="L318" t="str">
        <f>IF(AND(C318&gt; Sheet1!B324,K318&lt;3), "Misaligned","Aligned")</f>
        <v>Aligned</v>
      </c>
    </row>
    <row r="319" spans="1:12" x14ac:dyDescent="0.3">
      <c r="A319" t="s">
        <v>24</v>
      </c>
      <c r="B319">
        <v>25</v>
      </c>
      <c r="C319" t="s">
        <v>18</v>
      </c>
      <c r="D319" t="s">
        <v>32</v>
      </c>
      <c r="E319" t="s">
        <v>33</v>
      </c>
      <c r="F319" t="s">
        <v>39</v>
      </c>
      <c r="G319">
        <v>2020</v>
      </c>
      <c r="H319" s="1">
        <v>43845</v>
      </c>
      <c r="I319" t="s">
        <v>26</v>
      </c>
      <c r="J319" t="s">
        <v>23</v>
      </c>
      <c r="K319">
        <v>1</v>
      </c>
      <c r="L319" t="str">
        <f>IF(AND(C319&gt; Sheet1!B325,K319&lt;3), "Misaligned","Aligned")</f>
        <v>Misaligned</v>
      </c>
    </row>
    <row r="320" spans="1:12" x14ac:dyDescent="0.3">
      <c r="A320" t="s">
        <v>24</v>
      </c>
      <c r="B320" t="s">
        <v>18</v>
      </c>
      <c r="C320">
        <v>55000</v>
      </c>
      <c r="D320" t="s">
        <v>19</v>
      </c>
      <c r="E320" t="s">
        <v>13</v>
      </c>
      <c r="F320" t="s">
        <v>36</v>
      </c>
      <c r="G320">
        <v>2020</v>
      </c>
      <c r="H320" s="1">
        <v>43881</v>
      </c>
      <c r="I320" t="s">
        <v>22</v>
      </c>
      <c r="J320" t="s">
        <v>27</v>
      </c>
      <c r="K320">
        <v>3</v>
      </c>
      <c r="L320" t="str">
        <f>IF(AND(C320&gt; Sheet1!B326,K320&lt;3), "Misaligned","Aligned")</f>
        <v>Aligned</v>
      </c>
    </row>
    <row r="321" spans="1:12" x14ac:dyDescent="0.3">
      <c r="A321" t="s">
        <v>42</v>
      </c>
      <c r="B321">
        <v>50</v>
      </c>
      <c r="C321">
        <v>65000</v>
      </c>
      <c r="D321" t="s">
        <v>12</v>
      </c>
      <c r="E321" t="s">
        <v>25</v>
      </c>
      <c r="F321" t="s">
        <v>14</v>
      </c>
      <c r="G321">
        <v>2018</v>
      </c>
      <c r="H321" s="1">
        <v>43195</v>
      </c>
      <c r="I321" t="s">
        <v>15</v>
      </c>
      <c r="J321" t="s">
        <v>23</v>
      </c>
      <c r="K321">
        <v>1</v>
      </c>
      <c r="L321" t="str">
        <f>IF(AND(C321&gt; Sheet1!B327,K321&lt;3), "Misaligned","Aligned")</f>
        <v>Misaligned</v>
      </c>
    </row>
    <row r="322" spans="1:12" x14ac:dyDescent="0.3">
      <c r="A322" t="s">
        <v>41</v>
      </c>
      <c r="B322">
        <v>35</v>
      </c>
      <c r="C322">
        <v>55000</v>
      </c>
      <c r="D322" t="s">
        <v>32</v>
      </c>
      <c r="E322" t="s">
        <v>33</v>
      </c>
      <c r="F322" t="s">
        <v>36</v>
      </c>
      <c r="G322">
        <v>2019</v>
      </c>
      <c r="H322" s="1">
        <v>43800</v>
      </c>
      <c r="I322" t="s">
        <v>37</v>
      </c>
      <c r="J322" t="s">
        <v>16</v>
      </c>
      <c r="K322">
        <v>2</v>
      </c>
      <c r="L322" t="str">
        <f>IF(AND(C322&gt; Sheet1!B328,K322&lt;3), "Misaligned","Aligned")</f>
        <v>Misaligned</v>
      </c>
    </row>
    <row r="323" spans="1:12" x14ac:dyDescent="0.3">
      <c r="A323" t="s">
        <v>11</v>
      </c>
      <c r="B323">
        <v>40</v>
      </c>
      <c r="C323" t="s">
        <v>18</v>
      </c>
      <c r="D323" t="s">
        <v>32</v>
      </c>
      <c r="E323" t="s">
        <v>20</v>
      </c>
      <c r="F323" t="s">
        <v>36</v>
      </c>
      <c r="G323">
        <v>2020</v>
      </c>
      <c r="H323" s="1">
        <v>43845</v>
      </c>
      <c r="I323" t="s">
        <v>26</v>
      </c>
      <c r="J323" t="s">
        <v>27</v>
      </c>
      <c r="K323">
        <v>3</v>
      </c>
      <c r="L323" t="str">
        <f>IF(AND(C323&gt; Sheet1!B329,K323&lt;3), "Misaligned","Aligned")</f>
        <v>Aligned</v>
      </c>
    </row>
    <row r="324" spans="1:12" x14ac:dyDescent="0.3">
      <c r="A324" t="s">
        <v>42</v>
      </c>
      <c r="B324">
        <v>25</v>
      </c>
      <c r="C324">
        <v>60000</v>
      </c>
      <c r="D324" t="s">
        <v>12</v>
      </c>
      <c r="E324" t="s">
        <v>25</v>
      </c>
      <c r="F324" t="s">
        <v>39</v>
      </c>
      <c r="G324">
        <v>2019</v>
      </c>
      <c r="H324" s="1">
        <v>43549</v>
      </c>
      <c r="I324" t="s">
        <v>34</v>
      </c>
      <c r="J324" t="s">
        <v>27</v>
      </c>
      <c r="K324">
        <v>3</v>
      </c>
      <c r="L324" t="str">
        <f>IF(AND(C324&gt; Sheet1!B330,K324&lt;3), "Misaligned","Aligned")</f>
        <v>Aligned</v>
      </c>
    </row>
    <row r="325" spans="1:12" x14ac:dyDescent="0.3">
      <c r="A325" t="s">
        <v>31</v>
      </c>
      <c r="B325">
        <v>40</v>
      </c>
      <c r="C325" t="s">
        <v>18</v>
      </c>
      <c r="D325" t="s">
        <v>32</v>
      </c>
      <c r="E325" t="s">
        <v>33</v>
      </c>
      <c r="F325" t="s">
        <v>39</v>
      </c>
      <c r="G325">
        <v>2020</v>
      </c>
      <c r="H325" s="1">
        <v>43845</v>
      </c>
      <c r="I325" t="s">
        <v>26</v>
      </c>
      <c r="J325" t="s">
        <v>27</v>
      </c>
      <c r="K325">
        <v>3</v>
      </c>
      <c r="L325" t="str">
        <f>IF(AND(C325&gt; Sheet1!B331,K325&lt;3), "Misaligned","Aligned")</f>
        <v>Aligned</v>
      </c>
    </row>
    <row r="326" spans="1:12" x14ac:dyDescent="0.3">
      <c r="A326" t="s">
        <v>42</v>
      </c>
      <c r="B326">
        <v>50</v>
      </c>
      <c r="C326">
        <v>60000</v>
      </c>
      <c r="D326" t="s">
        <v>19</v>
      </c>
      <c r="E326" t="s">
        <v>25</v>
      </c>
      <c r="F326" t="s">
        <v>36</v>
      </c>
      <c r="G326">
        <v>2019</v>
      </c>
      <c r="H326" s="1">
        <v>43549</v>
      </c>
      <c r="I326" t="s">
        <v>34</v>
      </c>
      <c r="J326" t="s">
        <v>16</v>
      </c>
      <c r="K326">
        <v>2</v>
      </c>
      <c r="L326" t="str">
        <f>IF(AND(C326&gt; Sheet1!B332,K326&lt;3), "Misaligned","Aligned")</f>
        <v>Misaligned</v>
      </c>
    </row>
    <row r="327" spans="1:12" x14ac:dyDescent="0.3">
      <c r="A327" t="s">
        <v>31</v>
      </c>
      <c r="B327">
        <v>50</v>
      </c>
      <c r="C327" t="s">
        <v>18</v>
      </c>
      <c r="D327" t="s">
        <v>19</v>
      </c>
      <c r="E327" t="s">
        <v>29</v>
      </c>
      <c r="F327" t="s">
        <v>40</v>
      </c>
      <c r="G327">
        <v>2019</v>
      </c>
      <c r="H327" s="1">
        <v>43800</v>
      </c>
      <c r="I327" t="s">
        <v>37</v>
      </c>
      <c r="J327" t="s">
        <v>30</v>
      </c>
      <c r="K327">
        <v>5</v>
      </c>
      <c r="L327" t="str">
        <f>IF(AND(C327&gt; Sheet1!B333,K327&lt;3), "Misaligned","Aligned")</f>
        <v>Aligned</v>
      </c>
    </row>
    <row r="328" spans="1:12" x14ac:dyDescent="0.3">
      <c r="A328" t="s">
        <v>43</v>
      </c>
      <c r="B328">
        <v>25</v>
      </c>
      <c r="C328">
        <v>65000</v>
      </c>
      <c r="D328" t="s">
        <v>19</v>
      </c>
      <c r="E328" t="s">
        <v>29</v>
      </c>
      <c r="F328" t="s">
        <v>39</v>
      </c>
      <c r="G328">
        <v>2019</v>
      </c>
      <c r="H328" s="1">
        <v>43549</v>
      </c>
      <c r="I328" t="s">
        <v>34</v>
      </c>
      <c r="J328" t="s">
        <v>23</v>
      </c>
      <c r="K328">
        <v>1</v>
      </c>
      <c r="L328" t="str">
        <f>IF(AND(C328&gt; Sheet1!B334,K328&lt;3), "Misaligned","Aligned")</f>
        <v>Misaligned</v>
      </c>
    </row>
    <row r="329" spans="1:12" x14ac:dyDescent="0.3">
      <c r="A329" t="s">
        <v>24</v>
      </c>
      <c r="B329">
        <v>30</v>
      </c>
      <c r="C329">
        <v>70000</v>
      </c>
      <c r="D329" t="s">
        <v>19</v>
      </c>
      <c r="E329" t="s">
        <v>13</v>
      </c>
      <c r="F329" t="s">
        <v>21</v>
      </c>
      <c r="G329">
        <v>2018</v>
      </c>
      <c r="H329" s="1">
        <v>43195</v>
      </c>
      <c r="I329" t="s">
        <v>15</v>
      </c>
      <c r="J329" t="s">
        <v>27</v>
      </c>
      <c r="K329">
        <v>3</v>
      </c>
      <c r="L329" t="str">
        <f>IF(AND(C329&gt; Sheet1!B335,K329&lt;3), "Misaligned","Aligned")</f>
        <v>Aligned</v>
      </c>
    </row>
    <row r="330" spans="1:12" x14ac:dyDescent="0.3">
      <c r="A330" t="s">
        <v>43</v>
      </c>
      <c r="B330">
        <v>25</v>
      </c>
      <c r="C330">
        <v>65000</v>
      </c>
      <c r="D330" t="s">
        <v>12</v>
      </c>
      <c r="E330" t="s">
        <v>13</v>
      </c>
      <c r="F330" t="s">
        <v>21</v>
      </c>
      <c r="G330">
        <v>2019</v>
      </c>
      <c r="H330" s="1">
        <v>43549</v>
      </c>
      <c r="I330" t="s">
        <v>34</v>
      </c>
      <c r="J330" t="s">
        <v>16</v>
      </c>
      <c r="K330">
        <v>2</v>
      </c>
      <c r="L330" t="str">
        <f>IF(AND(C330&gt; Sheet1!B336,K330&lt;3), "Misaligned","Aligned")</f>
        <v>Misaligned</v>
      </c>
    </row>
    <row r="331" spans="1:12" x14ac:dyDescent="0.3">
      <c r="A331" t="s">
        <v>44</v>
      </c>
      <c r="B331" t="s">
        <v>18</v>
      </c>
      <c r="C331">
        <v>55000</v>
      </c>
      <c r="D331" t="s">
        <v>32</v>
      </c>
      <c r="E331" t="s">
        <v>29</v>
      </c>
      <c r="F331" t="s">
        <v>14</v>
      </c>
      <c r="G331">
        <v>2018</v>
      </c>
      <c r="H331" s="1">
        <v>43195</v>
      </c>
      <c r="I331" t="s">
        <v>15</v>
      </c>
      <c r="J331" t="s">
        <v>30</v>
      </c>
      <c r="K331">
        <v>5</v>
      </c>
      <c r="L331" t="str">
        <f>IF(AND(C331&gt; Sheet1!B337,K331&lt;3), "Misaligned","Aligned")</f>
        <v>Aligned</v>
      </c>
    </row>
    <row r="332" spans="1:12" x14ac:dyDescent="0.3">
      <c r="A332" t="s">
        <v>41</v>
      </c>
      <c r="B332">
        <v>35</v>
      </c>
      <c r="C332">
        <v>65000</v>
      </c>
      <c r="D332" t="s">
        <v>19</v>
      </c>
      <c r="E332" t="s">
        <v>25</v>
      </c>
      <c r="F332" t="s">
        <v>36</v>
      </c>
      <c r="G332">
        <v>2019</v>
      </c>
      <c r="H332" s="1">
        <v>43800</v>
      </c>
      <c r="I332" t="s">
        <v>37</v>
      </c>
      <c r="J332" t="s">
        <v>23</v>
      </c>
      <c r="K332">
        <v>1</v>
      </c>
      <c r="L332" t="str">
        <f>IF(AND(C332&gt; Sheet1!B338,K332&lt;3), "Misaligned","Aligned")</f>
        <v>Misaligned</v>
      </c>
    </row>
    <row r="333" spans="1:12" x14ac:dyDescent="0.3">
      <c r="A333" t="s">
        <v>11</v>
      </c>
      <c r="B333">
        <v>30</v>
      </c>
      <c r="C333">
        <v>50000</v>
      </c>
      <c r="D333" t="s">
        <v>12</v>
      </c>
      <c r="E333" t="s">
        <v>29</v>
      </c>
      <c r="F333" t="s">
        <v>40</v>
      </c>
      <c r="G333">
        <v>2019</v>
      </c>
      <c r="H333" s="1">
        <v>43800</v>
      </c>
      <c r="I333" t="s">
        <v>37</v>
      </c>
      <c r="J333" t="s">
        <v>16</v>
      </c>
      <c r="K333">
        <v>2</v>
      </c>
      <c r="L333" t="str">
        <f>IF(AND(C333&gt; Sheet1!B339,K333&lt;3), "Misaligned","Aligned")</f>
        <v>Misaligned</v>
      </c>
    </row>
    <row r="334" spans="1:12" x14ac:dyDescent="0.3">
      <c r="A334" t="s">
        <v>31</v>
      </c>
      <c r="B334">
        <v>25</v>
      </c>
      <c r="C334">
        <v>55000</v>
      </c>
      <c r="D334" t="s">
        <v>32</v>
      </c>
      <c r="E334" t="s">
        <v>13</v>
      </c>
      <c r="F334" t="s">
        <v>14</v>
      </c>
      <c r="G334">
        <v>2020</v>
      </c>
      <c r="H334" s="1">
        <v>43845</v>
      </c>
      <c r="I334" t="s">
        <v>26</v>
      </c>
      <c r="J334" t="s">
        <v>23</v>
      </c>
      <c r="K334">
        <v>1</v>
      </c>
      <c r="L334" t="str">
        <f>IF(AND(C334&gt; Sheet1!B340,K334&lt;3), "Misaligned","Aligned")</f>
        <v>Misaligned</v>
      </c>
    </row>
    <row r="335" spans="1:12" x14ac:dyDescent="0.3">
      <c r="A335" t="s">
        <v>11</v>
      </c>
      <c r="B335">
        <v>40</v>
      </c>
      <c r="C335" t="s">
        <v>18</v>
      </c>
      <c r="D335" t="s">
        <v>32</v>
      </c>
      <c r="E335" t="s">
        <v>29</v>
      </c>
      <c r="F335" t="s">
        <v>36</v>
      </c>
      <c r="G335">
        <v>2018</v>
      </c>
      <c r="H335" s="1">
        <v>43195</v>
      </c>
      <c r="I335" t="s">
        <v>15</v>
      </c>
      <c r="J335" t="s">
        <v>27</v>
      </c>
      <c r="K335">
        <v>3</v>
      </c>
      <c r="L335" t="str">
        <f>IF(AND(C335&gt; Sheet1!B341,K335&lt;3), "Misaligned","Aligned")</f>
        <v>Aligned</v>
      </c>
    </row>
    <row r="336" spans="1:12" x14ac:dyDescent="0.3">
      <c r="A336" t="s">
        <v>31</v>
      </c>
      <c r="B336">
        <v>30</v>
      </c>
      <c r="C336">
        <v>55000</v>
      </c>
      <c r="D336" t="s">
        <v>12</v>
      </c>
      <c r="E336" t="s">
        <v>29</v>
      </c>
      <c r="F336" t="s">
        <v>39</v>
      </c>
      <c r="G336">
        <v>2018</v>
      </c>
      <c r="H336" s="1">
        <v>43195</v>
      </c>
      <c r="I336" t="s">
        <v>15</v>
      </c>
      <c r="J336" t="s">
        <v>30</v>
      </c>
      <c r="K336">
        <v>5</v>
      </c>
      <c r="L336" t="str">
        <f>IF(AND(C336&gt; Sheet1!B342,K336&lt;3), "Misaligned","Aligned")</f>
        <v>Aligned</v>
      </c>
    </row>
    <row r="337" spans="1:12" x14ac:dyDescent="0.3">
      <c r="A337" t="s">
        <v>35</v>
      </c>
      <c r="B337">
        <v>30</v>
      </c>
      <c r="C337">
        <v>70000</v>
      </c>
      <c r="D337" t="s">
        <v>12</v>
      </c>
      <c r="E337" t="s">
        <v>25</v>
      </c>
      <c r="F337" t="s">
        <v>21</v>
      </c>
      <c r="G337">
        <v>2020</v>
      </c>
      <c r="H337" s="1">
        <v>43881</v>
      </c>
      <c r="I337" t="s">
        <v>22</v>
      </c>
      <c r="J337" t="s">
        <v>16</v>
      </c>
      <c r="K337">
        <v>2</v>
      </c>
      <c r="L337" t="str">
        <f>IF(AND(C337&gt; Sheet1!B343,K337&lt;3), "Misaligned","Aligned")</f>
        <v>Misaligned</v>
      </c>
    </row>
    <row r="338" spans="1:12" x14ac:dyDescent="0.3">
      <c r="A338" t="s">
        <v>42</v>
      </c>
      <c r="B338">
        <v>25</v>
      </c>
      <c r="C338">
        <v>60000</v>
      </c>
      <c r="D338" t="s">
        <v>19</v>
      </c>
      <c r="E338" t="s">
        <v>33</v>
      </c>
      <c r="F338" t="s">
        <v>40</v>
      </c>
      <c r="G338">
        <v>2020</v>
      </c>
      <c r="H338" s="1">
        <v>43881</v>
      </c>
      <c r="I338" t="s">
        <v>22</v>
      </c>
      <c r="J338" t="s">
        <v>30</v>
      </c>
      <c r="K338">
        <v>5</v>
      </c>
      <c r="L338" t="str">
        <f>IF(AND(C338&gt; Sheet1!B344,K338&lt;3), "Misaligned","Aligned")</f>
        <v>Aligned</v>
      </c>
    </row>
    <row r="339" spans="1:12" x14ac:dyDescent="0.3">
      <c r="A339" t="s">
        <v>44</v>
      </c>
      <c r="B339">
        <v>30</v>
      </c>
      <c r="C339" t="s">
        <v>18</v>
      </c>
      <c r="D339" t="s">
        <v>32</v>
      </c>
      <c r="E339" t="s">
        <v>13</v>
      </c>
      <c r="F339" t="s">
        <v>21</v>
      </c>
      <c r="G339">
        <v>2020</v>
      </c>
      <c r="H339" s="1">
        <v>43881</v>
      </c>
      <c r="I339" t="s">
        <v>22</v>
      </c>
      <c r="J339" t="s">
        <v>27</v>
      </c>
      <c r="K339">
        <v>3</v>
      </c>
      <c r="L339" t="str">
        <f>IF(AND(C339&gt; Sheet1!B345,K339&lt;3), "Misaligned","Aligned")</f>
        <v>Aligned</v>
      </c>
    </row>
    <row r="340" spans="1:12" x14ac:dyDescent="0.3">
      <c r="A340" t="s">
        <v>24</v>
      </c>
      <c r="B340">
        <v>40</v>
      </c>
      <c r="C340">
        <v>55000</v>
      </c>
      <c r="D340" t="s">
        <v>32</v>
      </c>
      <c r="E340" t="s">
        <v>25</v>
      </c>
      <c r="F340" t="s">
        <v>39</v>
      </c>
      <c r="G340">
        <v>2019</v>
      </c>
      <c r="H340" s="1">
        <v>43549</v>
      </c>
      <c r="I340" t="s">
        <v>34</v>
      </c>
      <c r="J340" t="s">
        <v>30</v>
      </c>
      <c r="K340">
        <v>5</v>
      </c>
      <c r="L340" t="str">
        <f>IF(AND(C340&gt; Sheet1!B346,K340&lt;3), "Misaligned","Aligned")</f>
        <v>Aligned</v>
      </c>
    </row>
    <row r="341" spans="1:12" x14ac:dyDescent="0.3">
      <c r="A341" t="s">
        <v>31</v>
      </c>
      <c r="B341">
        <v>50</v>
      </c>
      <c r="C341" t="s">
        <v>18</v>
      </c>
      <c r="D341" t="s">
        <v>12</v>
      </c>
      <c r="E341" t="s">
        <v>29</v>
      </c>
      <c r="F341" t="s">
        <v>36</v>
      </c>
      <c r="G341">
        <v>2020</v>
      </c>
      <c r="H341" s="1">
        <v>43881</v>
      </c>
      <c r="I341" t="s">
        <v>22</v>
      </c>
      <c r="J341" t="s">
        <v>30</v>
      </c>
      <c r="K341">
        <v>5</v>
      </c>
      <c r="L341" t="str">
        <f>IF(AND(C341&gt; Sheet1!B347,K341&lt;3), "Misaligned","Aligned")</f>
        <v>Aligned</v>
      </c>
    </row>
    <row r="342" spans="1:12" x14ac:dyDescent="0.3">
      <c r="A342" t="s">
        <v>11</v>
      </c>
      <c r="B342">
        <v>30</v>
      </c>
      <c r="C342" t="s">
        <v>18</v>
      </c>
      <c r="D342" t="s">
        <v>32</v>
      </c>
      <c r="E342" t="s">
        <v>29</v>
      </c>
      <c r="F342" t="s">
        <v>39</v>
      </c>
      <c r="G342">
        <v>2018</v>
      </c>
      <c r="H342" s="1">
        <v>43195</v>
      </c>
      <c r="I342" t="s">
        <v>15</v>
      </c>
      <c r="J342" t="s">
        <v>38</v>
      </c>
      <c r="K342">
        <v>4</v>
      </c>
      <c r="L342" t="str">
        <f>IF(AND(C342&gt; Sheet1!B348,K342&lt;3), "Misaligned","Aligned")</f>
        <v>Aligned</v>
      </c>
    </row>
    <row r="343" spans="1:12" x14ac:dyDescent="0.3">
      <c r="A343" t="s">
        <v>44</v>
      </c>
      <c r="B343">
        <v>50</v>
      </c>
      <c r="C343" t="s">
        <v>18</v>
      </c>
      <c r="D343" t="s">
        <v>19</v>
      </c>
      <c r="E343" t="s">
        <v>33</v>
      </c>
      <c r="F343" t="s">
        <v>39</v>
      </c>
      <c r="G343">
        <v>2019</v>
      </c>
      <c r="H343" s="1">
        <v>43549</v>
      </c>
      <c r="I343" t="s">
        <v>34</v>
      </c>
      <c r="J343" t="s">
        <v>30</v>
      </c>
      <c r="K343">
        <v>5</v>
      </c>
      <c r="L343" t="str">
        <f>IF(AND(C343&gt; Sheet1!B349,K343&lt;3), "Misaligned","Aligned")</f>
        <v>Aligned</v>
      </c>
    </row>
    <row r="344" spans="1:12" x14ac:dyDescent="0.3">
      <c r="A344" t="s">
        <v>17</v>
      </c>
      <c r="B344">
        <v>40</v>
      </c>
      <c r="C344">
        <v>60000</v>
      </c>
      <c r="D344" t="s">
        <v>32</v>
      </c>
      <c r="E344" t="s">
        <v>13</v>
      </c>
      <c r="F344" t="s">
        <v>21</v>
      </c>
      <c r="G344">
        <v>2019</v>
      </c>
      <c r="H344" s="1">
        <v>43800</v>
      </c>
      <c r="I344" t="s">
        <v>37</v>
      </c>
      <c r="J344" t="s">
        <v>23</v>
      </c>
      <c r="K344">
        <v>1</v>
      </c>
      <c r="L344" t="str">
        <f>IF(AND(C344&gt; Sheet1!B350,K344&lt;3), "Misaligned","Aligned")</f>
        <v>Misaligned</v>
      </c>
    </row>
    <row r="345" spans="1:12" x14ac:dyDescent="0.3">
      <c r="A345" t="s">
        <v>17</v>
      </c>
      <c r="B345">
        <v>25</v>
      </c>
      <c r="C345">
        <v>65000</v>
      </c>
      <c r="D345" t="s">
        <v>12</v>
      </c>
      <c r="E345" t="s">
        <v>13</v>
      </c>
      <c r="F345" t="s">
        <v>40</v>
      </c>
      <c r="G345">
        <v>2020</v>
      </c>
      <c r="H345" s="1">
        <v>43845</v>
      </c>
      <c r="I345" t="s">
        <v>26</v>
      </c>
      <c r="J345" t="s">
        <v>16</v>
      </c>
      <c r="K345">
        <v>2</v>
      </c>
      <c r="L345" t="str">
        <f>IF(AND(C345&gt; Sheet1!B351,K345&lt;3), "Misaligned","Aligned")</f>
        <v>Misaligned</v>
      </c>
    </row>
    <row r="346" spans="1:12" x14ac:dyDescent="0.3">
      <c r="A346" t="s">
        <v>43</v>
      </c>
      <c r="B346">
        <v>35</v>
      </c>
      <c r="C346" t="s">
        <v>18</v>
      </c>
      <c r="D346" t="s">
        <v>12</v>
      </c>
      <c r="E346" t="s">
        <v>20</v>
      </c>
      <c r="F346" t="s">
        <v>39</v>
      </c>
      <c r="G346">
        <v>2020</v>
      </c>
      <c r="H346" s="1">
        <v>43881</v>
      </c>
      <c r="I346" t="s">
        <v>22</v>
      </c>
      <c r="J346" t="s">
        <v>38</v>
      </c>
      <c r="K346">
        <v>4</v>
      </c>
      <c r="L346" t="str">
        <f>IF(AND(C346&gt; Sheet1!B352,K346&lt;3), "Misaligned","Aligned")</f>
        <v>Aligned</v>
      </c>
    </row>
    <row r="347" spans="1:12" x14ac:dyDescent="0.3">
      <c r="A347" t="s">
        <v>24</v>
      </c>
      <c r="B347">
        <v>30</v>
      </c>
      <c r="C347">
        <v>50000</v>
      </c>
      <c r="D347" t="s">
        <v>19</v>
      </c>
      <c r="E347" t="s">
        <v>13</v>
      </c>
      <c r="F347" t="s">
        <v>21</v>
      </c>
      <c r="G347">
        <v>2019</v>
      </c>
      <c r="H347" s="1">
        <v>43800</v>
      </c>
      <c r="I347" t="s">
        <v>37</v>
      </c>
      <c r="J347" t="s">
        <v>16</v>
      </c>
      <c r="K347">
        <v>2</v>
      </c>
      <c r="L347" t="str">
        <f>IF(AND(C347&gt; Sheet1!B353,K347&lt;3), "Misaligned","Aligned")</f>
        <v>Misaligned</v>
      </c>
    </row>
    <row r="348" spans="1:12" x14ac:dyDescent="0.3">
      <c r="A348" t="s">
        <v>35</v>
      </c>
      <c r="B348">
        <v>35</v>
      </c>
      <c r="C348">
        <v>70000</v>
      </c>
      <c r="D348" t="s">
        <v>19</v>
      </c>
      <c r="E348" t="s">
        <v>33</v>
      </c>
      <c r="F348" t="s">
        <v>40</v>
      </c>
      <c r="G348">
        <v>2018</v>
      </c>
      <c r="H348" s="1">
        <v>43195</v>
      </c>
      <c r="I348" t="s">
        <v>15</v>
      </c>
      <c r="J348" t="s">
        <v>16</v>
      </c>
      <c r="K348">
        <v>2</v>
      </c>
      <c r="L348" t="str">
        <f>IF(AND(C348&gt; Sheet1!B354,K348&lt;3), "Misaligned","Aligned")</f>
        <v>Misaligned</v>
      </c>
    </row>
    <row r="349" spans="1:12" x14ac:dyDescent="0.3">
      <c r="A349" t="s">
        <v>11</v>
      </c>
      <c r="B349">
        <v>40</v>
      </c>
      <c r="C349">
        <v>60000</v>
      </c>
      <c r="D349" t="s">
        <v>32</v>
      </c>
      <c r="E349" t="s">
        <v>20</v>
      </c>
      <c r="F349" t="s">
        <v>36</v>
      </c>
      <c r="G349">
        <v>2020</v>
      </c>
      <c r="H349" s="1">
        <v>43845</v>
      </c>
      <c r="I349" t="s">
        <v>26</v>
      </c>
      <c r="J349" t="s">
        <v>27</v>
      </c>
      <c r="K349">
        <v>3</v>
      </c>
      <c r="L349" t="str">
        <f>IF(AND(C349&gt; Sheet1!B355,K349&lt;3), "Misaligned","Aligned")</f>
        <v>Aligned</v>
      </c>
    </row>
    <row r="350" spans="1:12" x14ac:dyDescent="0.3">
      <c r="A350" t="s">
        <v>42</v>
      </c>
      <c r="B350">
        <v>30</v>
      </c>
      <c r="C350">
        <v>55000</v>
      </c>
      <c r="D350" t="s">
        <v>32</v>
      </c>
      <c r="E350" t="s">
        <v>20</v>
      </c>
      <c r="F350" t="s">
        <v>36</v>
      </c>
      <c r="G350">
        <v>2019</v>
      </c>
      <c r="H350" s="1">
        <v>43800</v>
      </c>
      <c r="I350" t="s">
        <v>37</v>
      </c>
      <c r="J350" t="s">
        <v>27</v>
      </c>
      <c r="K350">
        <v>3</v>
      </c>
      <c r="L350" t="str">
        <f>IF(AND(C350&gt; Sheet1!B356,K350&lt;3), "Misaligned","Aligned")</f>
        <v>Aligned</v>
      </c>
    </row>
    <row r="351" spans="1:12" x14ac:dyDescent="0.3">
      <c r="A351" t="s">
        <v>42</v>
      </c>
      <c r="B351">
        <v>50</v>
      </c>
      <c r="C351">
        <v>60000</v>
      </c>
      <c r="D351" t="s">
        <v>12</v>
      </c>
      <c r="E351" t="s">
        <v>29</v>
      </c>
      <c r="F351" t="s">
        <v>14</v>
      </c>
      <c r="G351">
        <v>2020</v>
      </c>
      <c r="H351" s="1">
        <v>43845</v>
      </c>
      <c r="I351" t="s">
        <v>26</v>
      </c>
      <c r="J351" t="s">
        <v>38</v>
      </c>
      <c r="K351">
        <v>4</v>
      </c>
      <c r="L351" t="str">
        <f>IF(AND(C351&gt; Sheet1!B357,K351&lt;3), "Misaligned","Aligned")</f>
        <v>Aligned</v>
      </c>
    </row>
    <row r="352" spans="1:12" x14ac:dyDescent="0.3">
      <c r="A352" t="s">
        <v>11</v>
      </c>
      <c r="B352" t="s">
        <v>18</v>
      </c>
      <c r="C352">
        <v>55000</v>
      </c>
      <c r="D352" t="s">
        <v>19</v>
      </c>
      <c r="E352" t="s">
        <v>29</v>
      </c>
      <c r="F352" t="s">
        <v>21</v>
      </c>
      <c r="G352">
        <v>2020</v>
      </c>
      <c r="H352" s="1">
        <v>43881</v>
      </c>
      <c r="I352" t="s">
        <v>22</v>
      </c>
      <c r="J352" t="s">
        <v>27</v>
      </c>
      <c r="K352">
        <v>3</v>
      </c>
      <c r="L352" t="str">
        <f>IF(AND(C352&gt; Sheet1!B358,K352&lt;3), "Misaligned","Aligned")</f>
        <v>Aligned</v>
      </c>
    </row>
    <row r="353" spans="1:12" x14ac:dyDescent="0.3">
      <c r="A353" t="s">
        <v>41</v>
      </c>
      <c r="B353">
        <v>35</v>
      </c>
      <c r="C353">
        <v>60000</v>
      </c>
      <c r="D353" t="s">
        <v>19</v>
      </c>
      <c r="E353" t="s">
        <v>13</v>
      </c>
      <c r="F353" t="s">
        <v>40</v>
      </c>
      <c r="G353">
        <v>2018</v>
      </c>
      <c r="H353" s="1">
        <v>43195</v>
      </c>
      <c r="I353" t="s">
        <v>15</v>
      </c>
      <c r="J353" t="s">
        <v>27</v>
      </c>
      <c r="K353">
        <v>3</v>
      </c>
      <c r="L353" t="str">
        <f>IF(AND(C353&gt; Sheet1!B359,K353&lt;3), "Misaligned","Aligned")</f>
        <v>Aligned</v>
      </c>
    </row>
    <row r="354" spans="1:12" x14ac:dyDescent="0.3">
      <c r="A354" t="s">
        <v>35</v>
      </c>
      <c r="B354">
        <v>30</v>
      </c>
      <c r="C354">
        <v>55000</v>
      </c>
      <c r="D354" t="s">
        <v>19</v>
      </c>
      <c r="E354" t="s">
        <v>20</v>
      </c>
      <c r="F354" t="s">
        <v>39</v>
      </c>
      <c r="G354">
        <v>2020</v>
      </c>
      <c r="H354" s="1">
        <v>43845</v>
      </c>
      <c r="I354" t="s">
        <v>26</v>
      </c>
      <c r="J354" t="s">
        <v>27</v>
      </c>
      <c r="K354">
        <v>3</v>
      </c>
      <c r="L354" t="str">
        <f>IF(AND(C354&gt; Sheet1!B360,K354&lt;3), "Misaligned","Aligned")</f>
        <v>Aligned</v>
      </c>
    </row>
    <row r="355" spans="1:12" x14ac:dyDescent="0.3">
      <c r="A355" t="s">
        <v>44</v>
      </c>
      <c r="B355">
        <v>35</v>
      </c>
      <c r="C355" t="s">
        <v>18</v>
      </c>
      <c r="D355" t="s">
        <v>32</v>
      </c>
      <c r="E355" t="s">
        <v>29</v>
      </c>
      <c r="F355" t="s">
        <v>36</v>
      </c>
      <c r="G355">
        <v>2019</v>
      </c>
      <c r="H355" s="1">
        <v>43800</v>
      </c>
      <c r="I355" t="s">
        <v>37</v>
      </c>
      <c r="J355" t="s">
        <v>16</v>
      </c>
      <c r="K355">
        <v>2</v>
      </c>
      <c r="L355" t="str">
        <f>IF(AND(C355&gt; Sheet1!B361,K355&lt;3), "Misaligned","Aligned")</f>
        <v>Misaligned</v>
      </c>
    </row>
    <row r="356" spans="1:12" x14ac:dyDescent="0.3">
      <c r="A356" t="s">
        <v>31</v>
      </c>
      <c r="B356">
        <v>30</v>
      </c>
      <c r="C356">
        <v>65000</v>
      </c>
      <c r="D356" t="s">
        <v>19</v>
      </c>
      <c r="E356" t="s">
        <v>33</v>
      </c>
      <c r="F356" t="s">
        <v>40</v>
      </c>
      <c r="G356">
        <v>2020</v>
      </c>
      <c r="H356" s="1">
        <v>43881</v>
      </c>
      <c r="I356" t="s">
        <v>22</v>
      </c>
      <c r="J356" t="s">
        <v>38</v>
      </c>
      <c r="K356">
        <v>4</v>
      </c>
      <c r="L356" t="str">
        <f>IF(AND(C356&gt; Sheet1!B362,K356&lt;3), "Misaligned","Aligned")</f>
        <v>Aligned</v>
      </c>
    </row>
    <row r="357" spans="1:12" x14ac:dyDescent="0.3">
      <c r="A357" t="s">
        <v>41</v>
      </c>
      <c r="B357">
        <v>25</v>
      </c>
      <c r="C357">
        <v>55000</v>
      </c>
      <c r="D357" t="s">
        <v>12</v>
      </c>
      <c r="E357" t="s">
        <v>29</v>
      </c>
      <c r="F357" t="s">
        <v>21</v>
      </c>
      <c r="G357">
        <v>2020</v>
      </c>
      <c r="H357" s="1">
        <v>43881</v>
      </c>
      <c r="I357" t="s">
        <v>22</v>
      </c>
      <c r="J357" t="s">
        <v>16</v>
      </c>
      <c r="K357">
        <v>2</v>
      </c>
      <c r="L357" t="str">
        <f>IF(AND(C357&gt; Sheet1!B363,K357&lt;3), "Misaligned","Aligned")</f>
        <v>Misaligned</v>
      </c>
    </row>
    <row r="358" spans="1:12" x14ac:dyDescent="0.3">
      <c r="A358" t="s">
        <v>31</v>
      </c>
      <c r="B358">
        <v>50</v>
      </c>
      <c r="C358">
        <v>55000</v>
      </c>
      <c r="D358" t="s">
        <v>12</v>
      </c>
      <c r="E358" t="s">
        <v>29</v>
      </c>
      <c r="F358" t="s">
        <v>14</v>
      </c>
      <c r="G358">
        <v>2019</v>
      </c>
      <c r="H358" s="1">
        <v>43800</v>
      </c>
      <c r="I358" t="s">
        <v>37</v>
      </c>
      <c r="J358" t="s">
        <v>23</v>
      </c>
      <c r="K358">
        <v>1</v>
      </c>
      <c r="L358" t="str">
        <f>IF(AND(C358&gt; Sheet1!B364,K358&lt;3), "Misaligned","Aligned")</f>
        <v>Misaligned</v>
      </c>
    </row>
    <row r="359" spans="1:12" x14ac:dyDescent="0.3">
      <c r="A359" t="s">
        <v>31</v>
      </c>
      <c r="B359">
        <v>35</v>
      </c>
      <c r="C359">
        <v>50000</v>
      </c>
      <c r="D359" t="s">
        <v>32</v>
      </c>
      <c r="E359" t="s">
        <v>20</v>
      </c>
      <c r="F359" t="s">
        <v>36</v>
      </c>
      <c r="G359">
        <v>2019</v>
      </c>
      <c r="H359" s="1">
        <v>43800</v>
      </c>
      <c r="I359" t="s">
        <v>37</v>
      </c>
      <c r="J359" t="s">
        <v>16</v>
      </c>
      <c r="K359">
        <v>2</v>
      </c>
      <c r="L359" t="str">
        <f>IF(AND(C359&gt; Sheet1!B365,K359&lt;3), "Misaligned","Aligned")</f>
        <v>Misaligned</v>
      </c>
    </row>
    <row r="360" spans="1:12" x14ac:dyDescent="0.3">
      <c r="A360" t="s">
        <v>41</v>
      </c>
      <c r="B360" t="s">
        <v>18</v>
      </c>
      <c r="C360">
        <v>55000</v>
      </c>
      <c r="D360" t="s">
        <v>32</v>
      </c>
      <c r="E360" t="s">
        <v>20</v>
      </c>
      <c r="F360" t="s">
        <v>40</v>
      </c>
      <c r="G360">
        <v>2020</v>
      </c>
      <c r="H360" s="1">
        <v>43845</v>
      </c>
      <c r="I360" t="s">
        <v>26</v>
      </c>
      <c r="J360" t="s">
        <v>23</v>
      </c>
      <c r="K360">
        <v>1</v>
      </c>
      <c r="L360" t="str">
        <f>IF(AND(C360&gt; Sheet1!B366,K360&lt;3), "Misaligned","Aligned")</f>
        <v>Misaligned</v>
      </c>
    </row>
    <row r="361" spans="1:12" x14ac:dyDescent="0.3">
      <c r="A361" t="s">
        <v>43</v>
      </c>
      <c r="B361" t="s">
        <v>18</v>
      </c>
      <c r="C361">
        <v>50000</v>
      </c>
      <c r="D361" t="s">
        <v>19</v>
      </c>
      <c r="E361" t="s">
        <v>25</v>
      </c>
      <c r="F361" t="s">
        <v>40</v>
      </c>
      <c r="G361">
        <v>2019</v>
      </c>
      <c r="H361" s="1">
        <v>43549</v>
      </c>
      <c r="I361" t="s">
        <v>34</v>
      </c>
      <c r="J361" t="s">
        <v>30</v>
      </c>
      <c r="K361">
        <v>5</v>
      </c>
      <c r="L361" t="str">
        <f>IF(AND(C361&gt; Sheet1!B367,K361&lt;3), "Misaligned","Aligned")</f>
        <v>Aligned</v>
      </c>
    </row>
    <row r="362" spans="1:12" x14ac:dyDescent="0.3">
      <c r="A362" t="s">
        <v>17</v>
      </c>
      <c r="B362">
        <v>40</v>
      </c>
      <c r="C362">
        <v>70000</v>
      </c>
      <c r="D362" t="s">
        <v>32</v>
      </c>
      <c r="E362" t="s">
        <v>33</v>
      </c>
      <c r="F362" t="s">
        <v>40</v>
      </c>
      <c r="G362">
        <v>2020</v>
      </c>
      <c r="H362" s="1">
        <v>43881</v>
      </c>
      <c r="I362" t="s">
        <v>22</v>
      </c>
      <c r="J362" t="s">
        <v>30</v>
      </c>
      <c r="K362">
        <v>5</v>
      </c>
      <c r="L362" t="str">
        <f>IF(AND(C362&gt; Sheet1!B368,K362&lt;3), "Misaligned","Aligned")</f>
        <v>Aligned</v>
      </c>
    </row>
    <row r="363" spans="1:12" x14ac:dyDescent="0.3">
      <c r="A363" t="s">
        <v>31</v>
      </c>
      <c r="B363">
        <v>30</v>
      </c>
      <c r="C363" t="s">
        <v>18</v>
      </c>
      <c r="D363" t="s">
        <v>12</v>
      </c>
      <c r="E363" t="s">
        <v>20</v>
      </c>
      <c r="F363" t="s">
        <v>21</v>
      </c>
      <c r="G363">
        <v>2020</v>
      </c>
      <c r="H363" s="1">
        <v>43845</v>
      </c>
      <c r="I363" t="s">
        <v>26</v>
      </c>
      <c r="J363" t="s">
        <v>23</v>
      </c>
      <c r="K363">
        <v>1</v>
      </c>
      <c r="L363" t="str">
        <f>IF(AND(C363&gt; Sheet1!B369,K363&lt;3), "Misaligned","Aligned")</f>
        <v>Misaligned</v>
      </c>
    </row>
    <row r="364" spans="1:12" x14ac:dyDescent="0.3">
      <c r="A364" t="s">
        <v>41</v>
      </c>
      <c r="B364">
        <v>35</v>
      </c>
      <c r="C364">
        <v>50000</v>
      </c>
      <c r="D364" t="s">
        <v>19</v>
      </c>
      <c r="E364" t="s">
        <v>13</v>
      </c>
      <c r="F364" t="s">
        <v>21</v>
      </c>
      <c r="G364">
        <v>2019</v>
      </c>
      <c r="H364" s="1">
        <v>43800</v>
      </c>
      <c r="I364" t="s">
        <v>37</v>
      </c>
      <c r="J364" t="s">
        <v>23</v>
      </c>
      <c r="K364">
        <v>1</v>
      </c>
      <c r="L364" t="str">
        <f>IF(AND(C364&gt; Sheet1!B370,K364&lt;3), "Misaligned","Aligned")</f>
        <v>Misaligned</v>
      </c>
    </row>
    <row r="365" spans="1:12" x14ac:dyDescent="0.3">
      <c r="A365" t="s">
        <v>41</v>
      </c>
      <c r="B365">
        <v>40</v>
      </c>
      <c r="C365">
        <v>65000</v>
      </c>
      <c r="D365" t="s">
        <v>12</v>
      </c>
      <c r="E365" t="s">
        <v>33</v>
      </c>
      <c r="F365" t="s">
        <v>21</v>
      </c>
      <c r="G365">
        <v>2020</v>
      </c>
      <c r="H365" s="1">
        <v>43845</v>
      </c>
      <c r="I365" t="s">
        <v>26</v>
      </c>
      <c r="J365" t="s">
        <v>16</v>
      </c>
      <c r="K365">
        <v>2</v>
      </c>
      <c r="L365" t="str">
        <f>IF(AND(C365&gt; Sheet1!B371,K365&lt;3), "Misaligned","Aligned")</f>
        <v>Misaligned</v>
      </c>
    </row>
    <row r="366" spans="1:12" x14ac:dyDescent="0.3">
      <c r="A366" t="s">
        <v>28</v>
      </c>
      <c r="B366">
        <v>35</v>
      </c>
      <c r="C366" t="s">
        <v>18</v>
      </c>
      <c r="D366" t="s">
        <v>19</v>
      </c>
      <c r="E366" t="s">
        <v>33</v>
      </c>
      <c r="F366" t="s">
        <v>39</v>
      </c>
      <c r="G366">
        <v>2019</v>
      </c>
      <c r="H366" s="1">
        <v>43800</v>
      </c>
      <c r="I366" t="s">
        <v>37</v>
      </c>
      <c r="J366" t="s">
        <v>23</v>
      </c>
      <c r="K366">
        <v>1</v>
      </c>
      <c r="L366" t="str">
        <f>IF(AND(C366&gt; Sheet1!B372,K366&lt;3), "Misaligned","Aligned")</f>
        <v>Misaligned</v>
      </c>
    </row>
    <row r="367" spans="1:12" x14ac:dyDescent="0.3">
      <c r="A367" t="s">
        <v>43</v>
      </c>
      <c r="B367">
        <v>30</v>
      </c>
      <c r="C367">
        <v>50000</v>
      </c>
      <c r="D367" t="s">
        <v>32</v>
      </c>
      <c r="E367" t="s">
        <v>20</v>
      </c>
      <c r="F367" t="s">
        <v>40</v>
      </c>
      <c r="G367">
        <v>2018</v>
      </c>
      <c r="H367" s="1">
        <v>43195</v>
      </c>
      <c r="I367" t="s">
        <v>15</v>
      </c>
      <c r="J367" t="s">
        <v>38</v>
      </c>
      <c r="K367">
        <v>4</v>
      </c>
      <c r="L367" t="str">
        <f>IF(AND(C367&gt; Sheet1!B373,K367&lt;3), "Misaligned","Aligned")</f>
        <v>Aligned</v>
      </c>
    </row>
    <row r="368" spans="1:12" x14ac:dyDescent="0.3">
      <c r="A368" t="s">
        <v>24</v>
      </c>
      <c r="B368" t="s">
        <v>18</v>
      </c>
      <c r="C368" t="s">
        <v>18</v>
      </c>
      <c r="D368" t="s">
        <v>19</v>
      </c>
      <c r="E368" t="s">
        <v>33</v>
      </c>
      <c r="F368" t="s">
        <v>36</v>
      </c>
      <c r="G368">
        <v>2019</v>
      </c>
      <c r="H368" s="1">
        <v>43800</v>
      </c>
      <c r="I368" t="s">
        <v>37</v>
      </c>
      <c r="J368" t="s">
        <v>30</v>
      </c>
      <c r="K368">
        <v>5</v>
      </c>
      <c r="L368" t="str">
        <f>IF(AND(C368&gt; Sheet1!B374,K368&lt;3), "Misaligned","Aligned")</f>
        <v>Aligned</v>
      </c>
    </row>
    <row r="369" spans="1:12" x14ac:dyDescent="0.3">
      <c r="A369" t="s">
        <v>28</v>
      </c>
      <c r="B369">
        <v>25</v>
      </c>
      <c r="C369" t="s">
        <v>18</v>
      </c>
      <c r="D369" t="s">
        <v>19</v>
      </c>
      <c r="E369" t="s">
        <v>20</v>
      </c>
      <c r="F369" t="s">
        <v>21</v>
      </c>
      <c r="G369">
        <v>2019</v>
      </c>
      <c r="H369" s="1">
        <v>43800</v>
      </c>
      <c r="I369" t="s">
        <v>37</v>
      </c>
      <c r="J369" t="s">
        <v>30</v>
      </c>
      <c r="K369">
        <v>5</v>
      </c>
      <c r="L369" t="str">
        <f>IF(AND(C369&gt; Sheet1!B375,K369&lt;3), "Misaligned","Aligned")</f>
        <v>Aligned</v>
      </c>
    </row>
    <row r="370" spans="1:12" x14ac:dyDescent="0.3">
      <c r="A370" t="s">
        <v>28</v>
      </c>
      <c r="B370" t="s">
        <v>18</v>
      </c>
      <c r="C370" t="s">
        <v>18</v>
      </c>
      <c r="D370" t="s">
        <v>12</v>
      </c>
      <c r="E370" t="s">
        <v>29</v>
      </c>
      <c r="F370" t="s">
        <v>21</v>
      </c>
      <c r="G370">
        <v>2019</v>
      </c>
      <c r="H370" s="1">
        <v>43800</v>
      </c>
      <c r="I370" t="s">
        <v>37</v>
      </c>
      <c r="J370" t="s">
        <v>23</v>
      </c>
      <c r="K370">
        <v>1</v>
      </c>
      <c r="L370" t="str">
        <f>IF(AND(C370&gt; Sheet1!B376,K370&lt;3), "Misaligned","Aligned")</f>
        <v>Misaligned</v>
      </c>
    </row>
    <row r="371" spans="1:12" x14ac:dyDescent="0.3">
      <c r="A371" t="s">
        <v>11</v>
      </c>
      <c r="B371">
        <v>40</v>
      </c>
      <c r="C371">
        <v>70000</v>
      </c>
      <c r="D371" t="s">
        <v>12</v>
      </c>
      <c r="E371" t="s">
        <v>25</v>
      </c>
      <c r="F371" t="s">
        <v>40</v>
      </c>
      <c r="G371">
        <v>2019</v>
      </c>
      <c r="H371" s="1">
        <v>43549</v>
      </c>
      <c r="I371" t="s">
        <v>34</v>
      </c>
      <c r="J371" t="s">
        <v>27</v>
      </c>
      <c r="K371">
        <v>3</v>
      </c>
      <c r="L371" t="str">
        <f>IF(AND(C371&gt; Sheet1!B377,K371&lt;3), "Misaligned","Aligned")</f>
        <v>Aligned</v>
      </c>
    </row>
    <row r="372" spans="1:12" x14ac:dyDescent="0.3">
      <c r="A372" t="s">
        <v>17</v>
      </c>
      <c r="B372">
        <v>50</v>
      </c>
      <c r="C372">
        <v>65000</v>
      </c>
      <c r="D372" t="s">
        <v>19</v>
      </c>
      <c r="E372" t="s">
        <v>29</v>
      </c>
      <c r="F372" t="s">
        <v>21</v>
      </c>
      <c r="G372">
        <v>2019</v>
      </c>
      <c r="H372" s="1">
        <v>43800</v>
      </c>
      <c r="I372" t="s">
        <v>37</v>
      </c>
      <c r="J372" t="s">
        <v>27</v>
      </c>
      <c r="K372">
        <v>3</v>
      </c>
      <c r="L372" t="str">
        <f>IF(AND(C372&gt; Sheet1!B378,K372&lt;3), "Misaligned","Aligned")</f>
        <v>Aligned</v>
      </c>
    </row>
    <row r="373" spans="1:12" x14ac:dyDescent="0.3">
      <c r="A373" t="s">
        <v>41</v>
      </c>
      <c r="B373">
        <v>25</v>
      </c>
      <c r="C373">
        <v>60000</v>
      </c>
      <c r="D373" t="s">
        <v>32</v>
      </c>
      <c r="E373" t="s">
        <v>20</v>
      </c>
      <c r="F373" t="s">
        <v>39</v>
      </c>
      <c r="G373">
        <v>2020</v>
      </c>
      <c r="H373" s="1">
        <v>43881</v>
      </c>
      <c r="I373" t="s">
        <v>22</v>
      </c>
      <c r="J373" t="s">
        <v>23</v>
      </c>
      <c r="K373">
        <v>1</v>
      </c>
      <c r="L373" t="str">
        <f>IF(AND(C373&gt; Sheet1!B379,K373&lt;3), "Misaligned","Aligned")</f>
        <v>Misaligned</v>
      </c>
    </row>
    <row r="374" spans="1:12" x14ac:dyDescent="0.3">
      <c r="A374" t="s">
        <v>17</v>
      </c>
      <c r="B374">
        <v>40</v>
      </c>
      <c r="C374">
        <v>60000</v>
      </c>
      <c r="D374" t="s">
        <v>32</v>
      </c>
      <c r="E374" t="s">
        <v>20</v>
      </c>
      <c r="F374" t="s">
        <v>39</v>
      </c>
      <c r="G374">
        <v>2020</v>
      </c>
      <c r="H374" s="1">
        <v>43881</v>
      </c>
      <c r="I374" t="s">
        <v>22</v>
      </c>
      <c r="J374" t="s">
        <v>38</v>
      </c>
      <c r="K374">
        <v>4</v>
      </c>
      <c r="L374" t="str">
        <f>IF(AND(C374&gt; Sheet1!B380,K374&lt;3), "Misaligned","Aligned")</f>
        <v>Aligned</v>
      </c>
    </row>
    <row r="375" spans="1:12" x14ac:dyDescent="0.3">
      <c r="A375" t="s">
        <v>35</v>
      </c>
      <c r="B375">
        <v>30</v>
      </c>
      <c r="C375">
        <v>50000</v>
      </c>
      <c r="D375" t="s">
        <v>12</v>
      </c>
      <c r="E375" t="s">
        <v>29</v>
      </c>
      <c r="F375" t="s">
        <v>21</v>
      </c>
      <c r="G375">
        <v>2020</v>
      </c>
      <c r="H375" s="1">
        <v>43845</v>
      </c>
      <c r="I375" t="s">
        <v>26</v>
      </c>
      <c r="J375" t="s">
        <v>27</v>
      </c>
      <c r="K375">
        <v>3</v>
      </c>
      <c r="L375" t="str">
        <f>IF(AND(C375&gt; Sheet1!B381,K375&lt;3), "Misaligned","Aligned")</f>
        <v>Aligned</v>
      </c>
    </row>
    <row r="376" spans="1:12" x14ac:dyDescent="0.3">
      <c r="A376" t="s">
        <v>11</v>
      </c>
      <c r="B376">
        <v>25</v>
      </c>
      <c r="C376" t="s">
        <v>18</v>
      </c>
      <c r="D376" t="s">
        <v>32</v>
      </c>
      <c r="E376" t="s">
        <v>13</v>
      </c>
      <c r="F376" t="s">
        <v>40</v>
      </c>
      <c r="G376">
        <v>2019</v>
      </c>
      <c r="H376" s="1">
        <v>43549</v>
      </c>
      <c r="I376" t="s">
        <v>34</v>
      </c>
      <c r="J376" t="s">
        <v>23</v>
      </c>
      <c r="K376">
        <v>1</v>
      </c>
      <c r="L376" t="str">
        <f>IF(AND(C376&gt; Sheet1!B382,K376&lt;3), "Misaligned","Aligned")</f>
        <v>Misaligned</v>
      </c>
    </row>
    <row r="377" spans="1:12" x14ac:dyDescent="0.3">
      <c r="A377" t="s">
        <v>24</v>
      </c>
      <c r="B377">
        <v>40</v>
      </c>
      <c r="C377">
        <v>50000</v>
      </c>
      <c r="D377" t="s">
        <v>12</v>
      </c>
      <c r="E377" t="s">
        <v>13</v>
      </c>
      <c r="F377" t="s">
        <v>40</v>
      </c>
      <c r="G377">
        <v>2020</v>
      </c>
      <c r="H377" s="1">
        <v>43845</v>
      </c>
      <c r="I377" t="s">
        <v>26</v>
      </c>
      <c r="J377" t="s">
        <v>38</v>
      </c>
      <c r="K377">
        <v>4</v>
      </c>
      <c r="L377" t="str">
        <f>IF(AND(C377&gt; Sheet1!B383,K377&lt;3), "Misaligned","Aligned")</f>
        <v>Aligned</v>
      </c>
    </row>
    <row r="378" spans="1:12" x14ac:dyDescent="0.3">
      <c r="A378" t="s">
        <v>17</v>
      </c>
      <c r="B378">
        <v>30</v>
      </c>
      <c r="C378">
        <v>70000</v>
      </c>
      <c r="D378" t="s">
        <v>32</v>
      </c>
      <c r="E378" t="s">
        <v>13</v>
      </c>
      <c r="F378" t="s">
        <v>40</v>
      </c>
      <c r="G378">
        <v>2020</v>
      </c>
      <c r="H378" s="1">
        <v>43881</v>
      </c>
      <c r="I378" t="s">
        <v>22</v>
      </c>
      <c r="J378" t="s">
        <v>38</v>
      </c>
      <c r="K378">
        <v>4</v>
      </c>
      <c r="L378" t="str">
        <f>IF(AND(C378&gt; Sheet1!B384,K378&lt;3), "Misaligned","Aligned")</f>
        <v>Aligned</v>
      </c>
    </row>
    <row r="379" spans="1:12" x14ac:dyDescent="0.3">
      <c r="A379" t="s">
        <v>42</v>
      </c>
      <c r="B379" t="s">
        <v>18</v>
      </c>
      <c r="C379">
        <v>70000</v>
      </c>
      <c r="D379" t="s">
        <v>19</v>
      </c>
      <c r="E379" t="s">
        <v>20</v>
      </c>
      <c r="F379" t="s">
        <v>14</v>
      </c>
      <c r="G379">
        <v>2020</v>
      </c>
      <c r="H379" s="1">
        <v>43881</v>
      </c>
      <c r="I379" t="s">
        <v>22</v>
      </c>
      <c r="J379" t="s">
        <v>16</v>
      </c>
      <c r="K379">
        <v>2</v>
      </c>
      <c r="L379" t="str">
        <f>IF(AND(C379&gt; Sheet1!B385,K379&lt;3), "Misaligned","Aligned")</f>
        <v>Misaligned</v>
      </c>
    </row>
    <row r="380" spans="1:12" x14ac:dyDescent="0.3">
      <c r="A380" t="s">
        <v>31</v>
      </c>
      <c r="B380">
        <v>50</v>
      </c>
      <c r="C380">
        <v>55000</v>
      </c>
      <c r="D380" t="s">
        <v>12</v>
      </c>
      <c r="E380" t="s">
        <v>33</v>
      </c>
      <c r="F380" t="s">
        <v>21</v>
      </c>
      <c r="G380">
        <v>2018</v>
      </c>
      <c r="H380" s="1">
        <v>43195</v>
      </c>
      <c r="I380" t="s">
        <v>15</v>
      </c>
      <c r="J380" t="s">
        <v>38</v>
      </c>
      <c r="K380">
        <v>4</v>
      </c>
      <c r="L380" t="str">
        <f>IF(AND(C380&gt; Sheet1!B386,K380&lt;3), "Misaligned","Aligned")</f>
        <v>Aligned</v>
      </c>
    </row>
    <row r="381" spans="1:12" x14ac:dyDescent="0.3">
      <c r="A381" t="s">
        <v>35</v>
      </c>
      <c r="B381">
        <v>30</v>
      </c>
      <c r="C381">
        <v>70000</v>
      </c>
      <c r="D381" t="s">
        <v>12</v>
      </c>
      <c r="E381" t="s">
        <v>20</v>
      </c>
      <c r="F381" t="s">
        <v>40</v>
      </c>
      <c r="G381">
        <v>2019</v>
      </c>
      <c r="H381" s="1">
        <v>43800</v>
      </c>
      <c r="I381" t="s">
        <v>37</v>
      </c>
      <c r="J381" t="s">
        <v>27</v>
      </c>
      <c r="K381">
        <v>3</v>
      </c>
      <c r="L381" t="str">
        <f>IF(AND(C381&gt; Sheet1!B387,K381&lt;3), "Misaligned","Aligned")</f>
        <v>Aligned</v>
      </c>
    </row>
    <row r="382" spans="1:12" x14ac:dyDescent="0.3">
      <c r="A382" t="s">
        <v>43</v>
      </c>
      <c r="B382">
        <v>35</v>
      </c>
      <c r="C382">
        <v>55000</v>
      </c>
      <c r="D382" t="s">
        <v>19</v>
      </c>
      <c r="E382" t="s">
        <v>33</v>
      </c>
      <c r="F382" t="s">
        <v>39</v>
      </c>
      <c r="G382">
        <v>2020</v>
      </c>
      <c r="H382" s="1">
        <v>43881</v>
      </c>
      <c r="I382" t="s">
        <v>22</v>
      </c>
      <c r="J382" t="s">
        <v>27</v>
      </c>
      <c r="K382">
        <v>3</v>
      </c>
      <c r="L382" t="str">
        <f>IF(AND(C382&gt; Sheet1!B388,K382&lt;3), "Misaligned","Aligned")</f>
        <v>Aligned</v>
      </c>
    </row>
    <row r="383" spans="1:12" x14ac:dyDescent="0.3">
      <c r="A383" t="s">
        <v>24</v>
      </c>
      <c r="B383">
        <v>30</v>
      </c>
      <c r="C383">
        <v>65000</v>
      </c>
      <c r="D383" t="s">
        <v>12</v>
      </c>
      <c r="E383" t="s">
        <v>29</v>
      </c>
      <c r="F383" t="s">
        <v>36</v>
      </c>
      <c r="G383">
        <v>2020</v>
      </c>
      <c r="H383" s="1">
        <v>43845</v>
      </c>
      <c r="I383" t="s">
        <v>26</v>
      </c>
      <c r="J383" t="s">
        <v>23</v>
      </c>
      <c r="K383">
        <v>1</v>
      </c>
      <c r="L383" t="str">
        <f>IF(AND(C383&gt; Sheet1!B389,K383&lt;3), "Misaligned","Aligned")</f>
        <v>Misaligned</v>
      </c>
    </row>
    <row r="384" spans="1:12" x14ac:dyDescent="0.3">
      <c r="A384" t="s">
        <v>35</v>
      </c>
      <c r="B384">
        <v>30</v>
      </c>
      <c r="C384">
        <v>50000</v>
      </c>
      <c r="D384" t="s">
        <v>32</v>
      </c>
      <c r="E384" t="s">
        <v>25</v>
      </c>
      <c r="F384" t="s">
        <v>36</v>
      </c>
      <c r="G384">
        <v>2020</v>
      </c>
      <c r="H384" s="1">
        <v>43845</v>
      </c>
      <c r="I384" t="s">
        <v>26</v>
      </c>
      <c r="J384" t="s">
        <v>23</v>
      </c>
      <c r="K384">
        <v>1</v>
      </c>
      <c r="L384" t="str">
        <f>IF(AND(C384&gt; Sheet1!B390,K384&lt;3), "Misaligned","Aligned")</f>
        <v>Misaligned</v>
      </c>
    </row>
    <row r="385" spans="1:12" x14ac:dyDescent="0.3">
      <c r="A385" t="s">
        <v>31</v>
      </c>
      <c r="B385">
        <v>50</v>
      </c>
      <c r="C385">
        <v>65000</v>
      </c>
      <c r="D385" t="s">
        <v>32</v>
      </c>
      <c r="E385" t="s">
        <v>33</v>
      </c>
      <c r="F385" t="s">
        <v>40</v>
      </c>
      <c r="G385">
        <v>2019</v>
      </c>
      <c r="H385" s="1">
        <v>43800</v>
      </c>
      <c r="I385" t="s">
        <v>37</v>
      </c>
      <c r="J385" t="s">
        <v>38</v>
      </c>
      <c r="K385">
        <v>4</v>
      </c>
      <c r="L385" t="str">
        <f>IF(AND(C385&gt; Sheet1!B391,K385&lt;3), "Misaligned","Aligned")</f>
        <v>Aligned</v>
      </c>
    </row>
    <row r="386" spans="1:12" x14ac:dyDescent="0.3">
      <c r="A386" t="s">
        <v>11</v>
      </c>
      <c r="B386">
        <v>35</v>
      </c>
      <c r="C386">
        <v>70000</v>
      </c>
      <c r="D386" t="s">
        <v>12</v>
      </c>
      <c r="E386" t="s">
        <v>13</v>
      </c>
      <c r="F386" t="s">
        <v>36</v>
      </c>
      <c r="G386">
        <v>2019</v>
      </c>
      <c r="H386" s="1">
        <v>43800</v>
      </c>
      <c r="I386" t="s">
        <v>37</v>
      </c>
      <c r="J386" t="s">
        <v>30</v>
      </c>
      <c r="K386">
        <v>5</v>
      </c>
      <c r="L386" t="str">
        <f>IF(AND(C386&gt; Sheet1!B392,K386&lt;3), "Misaligned","Aligned")</f>
        <v>Aligned</v>
      </c>
    </row>
    <row r="387" spans="1:12" x14ac:dyDescent="0.3">
      <c r="A387" t="s">
        <v>31</v>
      </c>
      <c r="B387">
        <v>40</v>
      </c>
      <c r="C387">
        <v>65000</v>
      </c>
      <c r="D387" t="s">
        <v>32</v>
      </c>
      <c r="E387" t="s">
        <v>20</v>
      </c>
      <c r="F387" t="s">
        <v>36</v>
      </c>
      <c r="G387">
        <v>2018</v>
      </c>
      <c r="H387" s="1">
        <v>43195</v>
      </c>
      <c r="I387" t="s">
        <v>15</v>
      </c>
      <c r="J387" t="s">
        <v>16</v>
      </c>
      <c r="K387">
        <v>2</v>
      </c>
      <c r="L387" t="str">
        <f>IF(AND(C387&gt; Sheet1!B393,K387&lt;3), "Misaligned","Aligned")</f>
        <v>Misaligned</v>
      </c>
    </row>
    <row r="388" spans="1:12" x14ac:dyDescent="0.3">
      <c r="A388" t="s">
        <v>28</v>
      </c>
      <c r="B388">
        <v>40</v>
      </c>
      <c r="C388">
        <v>65000</v>
      </c>
      <c r="D388" t="s">
        <v>12</v>
      </c>
      <c r="E388" t="s">
        <v>29</v>
      </c>
      <c r="F388" t="s">
        <v>14</v>
      </c>
      <c r="G388">
        <v>2019</v>
      </c>
      <c r="H388" s="1">
        <v>43549</v>
      </c>
      <c r="I388" t="s">
        <v>34</v>
      </c>
      <c r="J388" t="s">
        <v>30</v>
      </c>
      <c r="K388">
        <v>5</v>
      </c>
      <c r="L388" t="str">
        <f>IF(AND(C388&gt; Sheet1!B394,K388&lt;3), "Misaligned","Aligned")</f>
        <v>Aligned</v>
      </c>
    </row>
    <row r="389" spans="1:12" x14ac:dyDescent="0.3">
      <c r="A389" t="s">
        <v>31</v>
      </c>
      <c r="B389">
        <v>30</v>
      </c>
      <c r="C389">
        <v>65000</v>
      </c>
      <c r="D389" t="s">
        <v>19</v>
      </c>
      <c r="E389" t="s">
        <v>13</v>
      </c>
      <c r="F389" t="s">
        <v>39</v>
      </c>
      <c r="G389">
        <v>2020</v>
      </c>
      <c r="H389" s="1">
        <v>43845</v>
      </c>
      <c r="I389" t="s">
        <v>26</v>
      </c>
      <c r="J389" t="s">
        <v>38</v>
      </c>
      <c r="K389">
        <v>4</v>
      </c>
      <c r="L389" t="str">
        <f>IF(AND(C389&gt; Sheet1!B395,K389&lt;3), "Misaligned","Aligned")</f>
        <v>Aligned</v>
      </c>
    </row>
    <row r="390" spans="1:12" x14ac:dyDescent="0.3">
      <c r="A390" t="s">
        <v>28</v>
      </c>
      <c r="B390">
        <v>35</v>
      </c>
      <c r="C390">
        <v>70000</v>
      </c>
      <c r="D390" t="s">
        <v>12</v>
      </c>
      <c r="E390" t="s">
        <v>29</v>
      </c>
      <c r="F390" t="s">
        <v>39</v>
      </c>
      <c r="G390">
        <v>2019</v>
      </c>
      <c r="H390" s="1">
        <v>43800</v>
      </c>
      <c r="I390" t="s">
        <v>37</v>
      </c>
      <c r="J390" t="s">
        <v>38</v>
      </c>
      <c r="K390">
        <v>4</v>
      </c>
      <c r="L390" t="str">
        <f>IF(AND(C390&gt; Sheet1!B396,K390&lt;3), "Misaligned","Aligned")</f>
        <v>Aligned</v>
      </c>
    </row>
    <row r="391" spans="1:12" x14ac:dyDescent="0.3">
      <c r="A391" t="s">
        <v>11</v>
      </c>
      <c r="B391">
        <v>35</v>
      </c>
      <c r="C391" t="s">
        <v>18</v>
      </c>
      <c r="D391" t="s">
        <v>19</v>
      </c>
      <c r="E391" t="s">
        <v>25</v>
      </c>
      <c r="F391" t="s">
        <v>14</v>
      </c>
      <c r="G391">
        <v>2020</v>
      </c>
      <c r="H391" s="1">
        <v>43845</v>
      </c>
      <c r="I391" t="s">
        <v>26</v>
      </c>
      <c r="J391" t="s">
        <v>30</v>
      </c>
      <c r="K391">
        <v>5</v>
      </c>
      <c r="L391" t="str">
        <f>IF(AND(C391&gt; Sheet1!B397,K391&lt;3), "Misaligned","Aligned")</f>
        <v>Aligned</v>
      </c>
    </row>
    <row r="392" spans="1:12" x14ac:dyDescent="0.3">
      <c r="A392" t="s">
        <v>44</v>
      </c>
      <c r="B392">
        <v>50</v>
      </c>
      <c r="C392">
        <v>65000</v>
      </c>
      <c r="D392" t="s">
        <v>32</v>
      </c>
      <c r="E392" t="s">
        <v>20</v>
      </c>
      <c r="F392" t="s">
        <v>14</v>
      </c>
      <c r="G392">
        <v>2019</v>
      </c>
      <c r="H392" s="1">
        <v>43800</v>
      </c>
      <c r="I392" t="s">
        <v>37</v>
      </c>
      <c r="J392" t="s">
        <v>16</v>
      </c>
      <c r="K392">
        <v>2</v>
      </c>
      <c r="L392" t="str">
        <f>IF(AND(C392&gt; Sheet1!B398,K392&lt;3), "Misaligned","Aligned")</f>
        <v>Misaligned</v>
      </c>
    </row>
    <row r="393" spans="1:12" x14ac:dyDescent="0.3">
      <c r="A393" t="s">
        <v>28</v>
      </c>
      <c r="B393" t="s">
        <v>18</v>
      </c>
      <c r="C393">
        <v>55000</v>
      </c>
      <c r="D393" t="s">
        <v>19</v>
      </c>
      <c r="E393" t="s">
        <v>20</v>
      </c>
      <c r="F393" t="s">
        <v>36</v>
      </c>
      <c r="G393">
        <v>2020</v>
      </c>
      <c r="H393" s="1">
        <v>43881</v>
      </c>
      <c r="I393" t="s">
        <v>22</v>
      </c>
      <c r="J393" t="s">
        <v>30</v>
      </c>
      <c r="K393">
        <v>5</v>
      </c>
      <c r="L393" t="str">
        <f>IF(AND(C393&gt; Sheet1!B399,K393&lt;3), "Misaligned","Aligned")</f>
        <v>Aligned</v>
      </c>
    </row>
    <row r="394" spans="1:12" x14ac:dyDescent="0.3">
      <c r="A394" t="s">
        <v>43</v>
      </c>
      <c r="B394">
        <v>40</v>
      </c>
      <c r="C394">
        <v>70000</v>
      </c>
      <c r="D394" t="s">
        <v>32</v>
      </c>
      <c r="E394" t="s">
        <v>25</v>
      </c>
      <c r="F394" t="s">
        <v>21</v>
      </c>
      <c r="G394">
        <v>2020</v>
      </c>
      <c r="H394" s="1">
        <v>43845</v>
      </c>
      <c r="I394" t="s">
        <v>26</v>
      </c>
      <c r="J394" t="s">
        <v>23</v>
      </c>
      <c r="K394">
        <v>1</v>
      </c>
      <c r="L394" t="str">
        <f>IF(AND(C394&gt; Sheet1!B400,K394&lt;3), "Misaligned","Aligned")</f>
        <v>Misaligned</v>
      </c>
    </row>
    <row r="395" spans="1:12" x14ac:dyDescent="0.3">
      <c r="A395" t="s">
        <v>31</v>
      </c>
      <c r="B395">
        <v>50</v>
      </c>
      <c r="C395">
        <v>65000</v>
      </c>
      <c r="D395" t="s">
        <v>12</v>
      </c>
      <c r="E395" t="s">
        <v>20</v>
      </c>
      <c r="F395" t="s">
        <v>36</v>
      </c>
      <c r="G395">
        <v>2020</v>
      </c>
      <c r="H395" s="1">
        <v>43881</v>
      </c>
      <c r="I395" t="s">
        <v>22</v>
      </c>
      <c r="J395" t="s">
        <v>27</v>
      </c>
      <c r="K395">
        <v>3</v>
      </c>
      <c r="L395" t="str">
        <f>IF(AND(C395&gt; Sheet1!B401,K395&lt;3), "Misaligned","Aligned")</f>
        <v>Aligned</v>
      </c>
    </row>
    <row r="396" spans="1:12" x14ac:dyDescent="0.3">
      <c r="A396" t="s">
        <v>31</v>
      </c>
      <c r="B396">
        <v>25</v>
      </c>
      <c r="C396" t="s">
        <v>18</v>
      </c>
      <c r="D396" t="s">
        <v>32</v>
      </c>
      <c r="E396" t="s">
        <v>33</v>
      </c>
      <c r="F396" t="s">
        <v>14</v>
      </c>
      <c r="G396">
        <v>2020</v>
      </c>
      <c r="H396" s="1">
        <v>43845</v>
      </c>
      <c r="I396" t="s">
        <v>26</v>
      </c>
      <c r="J396" t="s">
        <v>23</v>
      </c>
      <c r="K396">
        <v>1</v>
      </c>
      <c r="L396" t="str">
        <f>IF(AND(C396&gt; Sheet1!B402,K396&lt;3), "Misaligned","Aligned")</f>
        <v>Misaligned</v>
      </c>
    </row>
    <row r="397" spans="1:12" x14ac:dyDescent="0.3">
      <c r="A397" t="s">
        <v>43</v>
      </c>
      <c r="B397">
        <v>40</v>
      </c>
      <c r="C397">
        <v>70000</v>
      </c>
      <c r="D397" t="s">
        <v>12</v>
      </c>
      <c r="E397" t="s">
        <v>29</v>
      </c>
      <c r="F397" t="s">
        <v>39</v>
      </c>
      <c r="G397">
        <v>2019</v>
      </c>
      <c r="H397" s="1">
        <v>43549</v>
      </c>
      <c r="I397" t="s">
        <v>34</v>
      </c>
      <c r="J397" t="s">
        <v>27</v>
      </c>
      <c r="K397">
        <v>3</v>
      </c>
      <c r="L397" t="str">
        <f>IF(AND(C397&gt; Sheet1!B403,K397&lt;3), "Misaligned","Aligned")</f>
        <v>Aligned</v>
      </c>
    </row>
    <row r="398" spans="1:12" x14ac:dyDescent="0.3">
      <c r="A398" t="s">
        <v>42</v>
      </c>
      <c r="B398">
        <v>50</v>
      </c>
      <c r="C398">
        <v>60000</v>
      </c>
      <c r="D398" t="s">
        <v>12</v>
      </c>
      <c r="E398" t="s">
        <v>13</v>
      </c>
      <c r="F398" t="s">
        <v>36</v>
      </c>
      <c r="G398">
        <v>2018</v>
      </c>
      <c r="H398" s="1">
        <v>43195</v>
      </c>
      <c r="I398" t="s">
        <v>15</v>
      </c>
      <c r="J398" t="s">
        <v>38</v>
      </c>
      <c r="K398">
        <v>4</v>
      </c>
      <c r="L398" t="str">
        <f>IF(AND(C398&gt; Sheet1!B404,K398&lt;3), "Misaligned","Aligned")</f>
        <v>Aligned</v>
      </c>
    </row>
    <row r="399" spans="1:12" x14ac:dyDescent="0.3">
      <c r="A399" t="s">
        <v>41</v>
      </c>
      <c r="B399">
        <v>40</v>
      </c>
      <c r="C399" t="s">
        <v>18</v>
      </c>
      <c r="D399" t="s">
        <v>19</v>
      </c>
      <c r="E399" t="s">
        <v>25</v>
      </c>
      <c r="F399" t="s">
        <v>21</v>
      </c>
      <c r="G399">
        <v>2020</v>
      </c>
      <c r="H399" s="1">
        <v>43881</v>
      </c>
      <c r="I399" t="s">
        <v>22</v>
      </c>
      <c r="J399" t="s">
        <v>16</v>
      </c>
      <c r="K399">
        <v>2</v>
      </c>
      <c r="L399" t="str">
        <f>IF(AND(C399&gt; Sheet1!B405,K399&lt;3), "Misaligned","Aligned")</f>
        <v>Misaligned</v>
      </c>
    </row>
    <row r="400" spans="1:12" x14ac:dyDescent="0.3">
      <c r="A400" t="s">
        <v>44</v>
      </c>
      <c r="B400" t="s">
        <v>18</v>
      </c>
      <c r="C400">
        <v>55000</v>
      </c>
      <c r="D400" t="s">
        <v>19</v>
      </c>
      <c r="E400" t="s">
        <v>33</v>
      </c>
      <c r="F400" t="s">
        <v>36</v>
      </c>
      <c r="G400">
        <v>2019</v>
      </c>
      <c r="H400" s="1">
        <v>43800</v>
      </c>
      <c r="I400" t="s">
        <v>37</v>
      </c>
      <c r="J400" t="s">
        <v>30</v>
      </c>
      <c r="K400">
        <v>5</v>
      </c>
      <c r="L400" t="str">
        <f>IF(AND(C400&gt; Sheet1!B406,K400&lt;3), "Misaligned","Aligned")</f>
        <v>Aligned</v>
      </c>
    </row>
    <row r="401" spans="1:12" x14ac:dyDescent="0.3">
      <c r="A401" t="s">
        <v>24</v>
      </c>
      <c r="B401">
        <v>25</v>
      </c>
      <c r="C401">
        <v>65000</v>
      </c>
      <c r="D401" t="s">
        <v>19</v>
      </c>
      <c r="E401" t="s">
        <v>13</v>
      </c>
      <c r="F401" t="s">
        <v>40</v>
      </c>
      <c r="G401">
        <v>2019</v>
      </c>
      <c r="H401" s="1">
        <v>43549</v>
      </c>
      <c r="I401" t="s">
        <v>34</v>
      </c>
      <c r="J401" t="s">
        <v>16</v>
      </c>
      <c r="K401">
        <v>2</v>
      </c>
      <c r="L401" t="str">
        <f>IF(AND(C401&gt; Sheet1!B407,K401&lt;3), "Misaligned","Aligned")</f>
        <v>Misaligned</v>
      </c>
    </row>
    <row r="402" spans="1:12" x14ac:dyDescent="0.3">
      <c r="A402" t="s">
        <v>28</v>
      </c>
      <c r="B402" t="s">
        <v>18</v>
      </c>
      <c r="C402">
        <v>60000</v>
      </c>
      <c r="D402" t="s">
        <v>19</v>
      </c>
      <c r="E402" t="s">
        <v>13</v>
      </c>
      <c r="F402" t="s">
        <v>36</v>
      </c>
      <c r="G402">
        <v>2020</v>
      </c>
      <c r="H402" s="1">
        <v>43845</v>
      </c>
      <c r="I402" t="s">
        <v>26</v>
      </c>
      <c r="J402" t="s">
        <v>30</v>
      </c>
      <c r="K402">
        <v>5</v>
      </c>
      <c r="L402" t="str">
        <f>IF(AND(C402&gt; Sheet1!B408,K402&lt;3), "Misaligned","Aligned")</f>
        <v>Aligned</v>
      </c>
    </row>
    <row r="403" spans="1:12" x14ac:dyDescent="0.3">
      <c r="A403" t="s">
        <v>43</v>
      </c>
      <c r="B403">
        <v>25</v>
      </c>
      <c r="C403">
        <v>60000</v>
      </c>
      <c r="D403" t="s">
        <v>32</v>
      </c>
      <c r="E403" t="s">
        <v>25</v>
      </c>
      <c r="F403" t="s">
        <v>14</v>
      </c>
      <c r="G403">
        <v>2020</v>
      </c>
      <c r="H403" s="1">
        <v>43881</v>
      </c>
      <c r="I403" t="s">
        <v>22</v>
      </c>
      <c r="J403" t="s">
        <v>23</v>
      </c>
      <c r="K403">
        <v>1</v>
      </c>
      <c r="L403" t="str">
        <f>IF(AND(C403&gt; Sheet1!B409,K403&lt;3), "Misaligned","Aligned")</f>
        <v>Misaligned</v>
      </c>
    </row>
    <row r="404" spans="1:12" x14ac:dyDescent="0.3">
      <c r="A404" t="s">
        <v>11</v>
      </c>
      <c r="B404">
        <v>30</v>
      </c>
      <c r="C404">
        <v>70000</v>
      </c>
      <c r="D404" t="s">
        <v>32</v>
      </c>
      <c r="E404" t="s">
        <v>33</v>
      </c>
      <c r="F404" t="s">
        <v>39</v>
      </c>
      <c r="G404">
        <v>2020</v>
      </c>
      <c r="H404" s="1">
        <v>43845</v>
      </c>
      <c r="I404" t="s">
        <v>26</v>
      </c>
      <c r="J404" t="s">
        <v>23</v>
      </c>
      <c r="K404">
        <v>1</v>
      </c>
      <c r="L404" t="str">
        <f>IF(AND(C404&gt; Sheet1!B410,K404&lt;3), "Misaligned","Aligned")</f>
        <v>Misaligned</v>
      </c>
    </row>
    <row r="405" spans="1:12" x14ac:dyDescent="0.3">
      <c r="A405" t="s">
        <v>28</v>
      </c>
      <c r="B405">
        <v>50</v>
      </c>
      <c r="C405">
        <v>60000</v>
      </c>
      <c r="D405" t="s">
        <v>32</v>
      </c>
      <c r="E405" t="s">
        <v>13</v>
      </c>
      <c r="F405" t="s">
        <v>39</v>
      </c>
      <c r="G405">
        <v>2020</v>
      </c>
      <c r="H405" s="1">
        <v>43845</v>
      </c>
      <c r="I405" t="s">
        <v>26</v>
      </c>
      <c r="J405" t="s">
        <v>30</v>
      </c>
      <c r="K405">
        <v>5</v>
      </c>
      <c r="L405" t="str">
        <f>IF(AND(C405&gt; Sheet1!B411,K405&lt;3), "Misaligned","Aligned")</f>
        <v>Aligned</v>
      </c>
    </row>
    <row r="406" spans="1:12" x14ac:dyDescent="0.3">
      <c r="A406" t="s">
        <v>41</v>
      </c>
      <c r="B406">
        <v>25</v>
      </c>
      <c r="C406">
        <v>55000</v>
      </c>
      <c r="D406" t="s">
        <v>12</v>
      </c>
      <c r="E406" t="s">
        <v>13</v>
      </c>
      <c r="F406" t="s">
        <v>14</v>
      </c>
      <c r="G406">
        <v>2020</v>
      </c>
      <c r="H406" s="1">
        <v>43845</v>
      </c>
      <c r="I406" t="s">
        <v>26</v>
      </c>
      <c r="J406" t="s">
        <v>16</v>
      </c>
      <c r="K406">
        <v>2</v>
      </c>
      <c r="L406" t="str">
        <f>IF(AND(C406&gt; Sheet1!B412,K406&lt;3), "Misaligned","Aligned")</f>
        <v>Misaligned</v>
      </c>
    </row>
    <row r="407" spans="1:12" x14ac:dyDescent="0.3">
      <c r="A407" t="s">
        <v>11</v>
      </c>
      <c r="B407" t="s">
        <v>18</v>
      </c>
      <c r="C407">
        <v>55000</v>
      </c>
      <c r="D407" t="s">
        <v>32</v>
      </c>
      <c r="E407" t="s">
        <v>33</v>
      </c>
      <c r="F407" t="s">
        <v>40</v>
      </c>
      <c r="G407">
        <v>2018</v>
      </c>
      <c r="H407" s="1">
        <v>43195</v>
      </c>
      <c r="I407" t="s">
        <v>15</v>
      </c>
      <c r="J407" t="s">
        <v>30</v>
      </c>
      <c r="K407">
        <v>5</v>
      </c>
      <c r="L407" t="str">
        <f>IF(AND(C407&gt; Sheet1!B413,K407&lt;3), "Misaligned","Aligned")</f>
        <v>Aligned</v>
      </c>
    </row>
    <row r="408" spans="1:12" x14ac:dyDescent="0.3">
      <c r="A408" t="s">
        <v>35</v>
      </c>
      <c r="B408">
        <v>40</v>
      </c>
      <c r="C408">
        <v>50000</v>
      </c>
      <c r="D408" t="s">
        <v>32</v>
      </c>
      <c r="E408" t="s">
        <v>20</v>
      </c>
      <c r="F408" t="s">
        <v>14</v>
      </c>
      <c r="G408">
        <v>2018</v>
      </c>
      <c r="H408" s="1">
        <v>43195</v>
      </c>
      <c r="I408" t="s">
        <v>15</v>
      </c>
      <c r="J408" t="s">
        <v>38</v>
      </c>
      <c r="K408">
        <v>4</v>
      </c>
      <c r="L408" t="str">
        <f>IF(AND(C408&gt; Sheet1!B414,K408&lt;3), "Misaligned","Aligned")</f>
        <v>Aligned</v>
      </c>
    </row>
    <row r="409" spans="1:12" x14ac:dyDescent="0.3">
      <c r="A409" t="s">
        <v>31</v>
      </c>
      <c r="B409">
        <v>25</v>
      </c>
      <c r="C409">
        <v>55000</v>
      </c>
      <c r="D409" t="s">
        <v>32</v>
      </c>
      <c r="E409" t="s">
        <v>13</v>
      </c>
      <c r="F409" t="s">
        <v>36</v>
      </c>
      <c r="G409">
        <v>2019</v>
      </c>
      <c r="H409" s="1">
        <v>43800</v>
      </c>
      <c r="I409" t="s">
        <v>37</v>
      </c>
      <c r="J409" t="s">
        <v>23</v>
      </c>
      <c r="K409">
        <v>1</v>
      </c>
      <c r="L409" t="str">
        <f>IF(AND(C409&gt; Sheet1!B415,K409&lt;3), "Misaligned","Aligned")</f>
        <v>Misaligned</v>
      </c>
    </row>
    <row r="410" spans="1:12" x14ac:dyDescent="0.3">
      <c r="A410" t="s">
        <v>35</v>
      </c>
      <c r="B410">
        <v>50</v>
      </c>
      <c r="C410" t="s">
        <v>18</v>
      </c>
      <c r="D410" t="s">
        <v>19</v>
      </c>
      <c r="E410" t="s">
        <v>29</v>
      </c>
      <c r="F410" t="s">
        <v>14</v>
      </c>
      <c r="G410">
        <v>2020</v>
      </c>
      <c r="H410" s="1">
        <v>43881</v>
      </c>
      <c r="I410" t="s">
        <v>22</v>
      </c>
      <c r="J410" t="s">
        <v>38</v>
      </c>
      <c r="K410">
        <v>4</v>
      </c>
      <c r="L410" t="str">
        <f>IF(AND(C410&gt; Sheet1!B416,K410&lt;3), "Misaligned","Aligned")</f>
        <v>Aligned</v>
      </c>
    </row>
    <row r="411" spans="1:12" x14ac:dyDescent="0.3">
      <c r="A411" t="s">
        <v>28</v>
      </c>
      <c r="B411">
        <v>25</v>
      </c>
      <c r="C411">
        <v>60000</v>
      </c>
      <c r="D411" t="s">
        <v>32</v>
      </c>
      <c r="E411" t="s">
        <v>33</v>
      </c>
      <c r="F411" t="s">
        <v>14</v>
      </c>
      <c r="G411">
        <v>2019</v>
      </c>
      <c r="H411" s="1">
        <v>43549</v>
      </c>
      <c r="I411" t="s">
        <v>34</v>
      </c>
      <c r="J411" t="s">
        <v>23</v>
      </c>
      <c r="K411">
        <v>1</v>
      </c>
      <c r="L411" t="str">
        <f>IF(AND(C411&gt; Sheet1!B417,K411&lt;3), "Misaligned","Aligned")</f>
        <v>Misaligned</v>
      </c>
    </row>
    <row r="412" spans="1:12" x14ac:dyDescent="0.3">
      <c r="A412" t="s">
        <v>41</v>
      </c>
      <c r="B412">
        <v>35</v>
      </c>
      <c r="C412">
        <v>55000</v>
      </c>
      <c r="D412" t="s">
        <v>12</v>
      </c>
      <c r="E412" t="s">
        <v>13</v>
      </c>
      <c r="F412" t="s">
        <v>40</v>
      </c>
      <c r="G412">
        <v>2019</v>
      </c>
      <c r="H412" s="1">
        <v>43549</v>
      </c>
      <c r="I412" t="s">
        <v>34</v>
      </c>
      <c r="J412" t="s">
        <v>23</v>
      </c>
      <c r="K412">
        <v>1</v>
      </c>
      <c r="L412" t="str">
        <f>IF(AND(C412&gt; Sheet1!B418,K412&lt;3), "Misaligned","Aligned")</f>
        <v>Misaligned</v>
      </c>
    </row>
    <row r="413" spans="1:12" x14ac:dyDescent="0.3">
      <c r="A413" t="s">
        <v>44</v>
      </c>
      <c r="B413">
        <v>40</v>
      </c>
      <c r="C413">
        <v>70000</v>
      </c>
      <c r="D413" t="s">
        <v>19</v>
      </c>
      <c r="E413" t="s">
        <v>25</v>
      </c>
      <c r="F413" t="s">
        <v>36</v>
      </c>
      <c r="G413">
        <v>2019</v>
      </c>
      <c r="H413" s="1">
        <v>43549</v>
      </c>
      <c r="I413" t="s">
        <v>34</v>
      </c>
      <c r="J413" t="s">
        <v>27</v>
      </c>
      <c r="K413">
        <v>3</v>
      </c>
      <c r="L413" t="str">
        <f>IF(AND(C413&gt; Sheet1!B419,K413&lt;3), "Misaligned","Aligned")</f>
        <v>Aligned</v>
      </c>
    </row>
    <row r="414" spans="1:12" x14ac:dyDescent="0.3">
      <c r="A414" t="s">
        <v>28</v>
      </c>
      <c r="B414">
        <v>50</v>
      </c>
      <c r="C414">
        <v>50000</v>
      </c>
      <c r="D414" t="s">
        <v>12</v>
      </c>
      <c r="E414" t="s">
        <v>29</v>
      </c>
      <c r="F414" t="s">
        <v>21</v>
      </c>
      <c r="G414">
        <v>2020</v>
      </c>
      <c r="H414" s="1">
        <v>43845</v>
      </c>
      <c r="I414" t="s">
        <v>26</v>
      </c>
      <c r="J414" t="s">
        <v>38</v>
      </c>
      <c r="K414">
        <v>4</v>
      </c>
      <c r="L414" t="str">
        <f>IF(AND(C414&gt; Sheet1!B420,K414&lt;3), "Misaligned","Aligned")</f>
        <v>Aligned</v>
      </c>
    </row>
    <row r="415" spans="1:12" x14ac:dyDescent="0.3">
      <c r="A415" t="s">
        <v>43</v>
      </c>
      <c r="B415">
        <v>50</v>
      </c>
      <c r="C415">
        <v>60000</v>
      </c>
      <c r="D415" t="s">
        <v>32</v>
      </c>
      <c r="E415" t="s">
        <v>13</v>
      </c>
      <c r="F415" t="s">
        <v>21</v>
      </c>
      <c r="G415">
        <v>2018</v>
      </c>
      <c r="H415" s="1">
        <v>43195</v>
      </c>
      <c r="I415" t="s">
        <v>15</v>
      </c>
      <c r="J415" t="s">
        <v>38</v>
      </c>
      <c r="K415">
        <v>4</v>
      </c>
      <c r="L415" t="str">
        <f>IF(AND(C415&gt; Sheet1!B421,K415&lt;3), "Misaligned","Aligned")</f>
        <v>Aligned</v>
      </c>
    </row>
    <row r="416" spans="1:12" x14ac:dyDescent="0.3">
      <c r="A416" t="s">
        <v>17</v>
      </c>
      <c r="B416">
        <v>30</v>
      </c>
      <c r="C416">
        <v>50000</v>
      </c>
      <c r="D416" t="s">
        <v>19</v>
      </c>
      <c r="E416" t="s">
        <v>29</v>
      </c>
      <c r="F416" t="s">
        <v>39</v>
      </c>
      <c r="G416">
        <v>2020</v>
      </c>
      <c r="H416" s="1">
        <v>43881</v>
      </c>
      <c r="I416" t="s">
        <v>22</v>
      </c>
      <c r="J416" t="s">
        <v>27</v>
      </c>
      <c r="K416">
        <v>3</v>
      </c>
      <c r="L416" t="str">
        <f>IF(AND(C416&gt; Sheet1!B422,K416&lt;3), "Misaligned","Aligned")</f>
        <v>Aligned</v>
      </c>
    </row>
    <row r="417" spans="1:12" x14ac:dyDescent="0.3">
      <c r="A417" t="s">
        <v>28</v>
      </c>
      <c r="B417" t="s">
        <v>18</v>
      </c>
      <c r="C417">
        <v>60000</v>
      </c>
      <c r="D417" t="s">
        <v>12</v>
      </c>
      <c r="E417" t="s">
        <v>29</v>
      </c>
      <c r="F417" t="s">
        <v>14</v>
      </c>
      <c r="G417">
        <v>2020</v>
      </c>
      <c r="H417" s="1">
        <v>43845</v>
      </c>
      <c r="I417" t="s">
        <v>26</v>
      </c>
      <c r="J417" t="s">
        <v>16</v>
      </c>
      <c r="K417">
        <v>2</v>
      </c>
      <c r="L417" t="str">
        <f>IF(AND(C417&gt; Sheet1!B423,K417&lt;3), "Misaligned","Aligned")</f>
        <v>Misaligned</v>
      </c>
    </row>
    <row r="418" spans="1:12" x14ac:dyDescent="0.3">
      <c r="A418" t="s">
        <v>31</v>
      </c>
      <c r="B418">
        <v>30</v>
      </c>
      <c r="C418">
        <v>70000</v>
      </c>
      <c r="D418" t="s">
        <v>32</v>
      </c>
      <c r="E418" t="s">
        <v>20</v>
      </c>
      <c r="F418" t="s">
        <v>39</v>
      </c>
      <c r="G418">
        <v>2018</v>
      </c>
      <c r="H418" s="1">
        <v>43195</v>
      </c>
      <c r="I418" t="s">
        <v>15</v>
      </c>
      <c r="J418" t="s">
        <v>38</v>
      </c>
      <c r="K418">
        <v>4</v>
      </c>
      <c r="L418" t="str">
        <f>IF(AND(C418&gt; Sheet1!B424,K418&lt;3), "Misaligned","Aligned")</f>
        <v>Aligned</v>
      </c>
    </row>
    <row r="419" spans="1:12" x14ac:dyDescent="0.3">
      <c r="A419" t="s">
        <v>31</v>
      </c>
      <c r="B419">
        <v>50</v>
      </c>
      <c r="C419">
        <v>50000</v>
      </c>
      <c r="D419" t="s">
        <v>12</v>
      </c>
      <c r="E419" t="s">
        <v>29</v>
      </c>
      <c r="F419" t="s">
        <v>40</v>
      </c>
      <c r="G419">
        <v>2018</v>
      </c>
      <c r="H419" s="1">
        <v>43195</v>
      </c>
      <c r="I419" t="s">
        <v>15</v>
      </c>
      <c r="J419" t="s">
        <v>30</v>
      </c>
      <c r="K419">
        <v>5</v>
      </c>
      <c r="L419" t="str">
        <f>IF(AND(C419&gt; Sheet1!B425,K419&lt;3), "Misaligned","Aligned")</f>
        <v>Aligned</v>
      </c>
    </row>
    <row r="420" spans="1:12" x14ac:dyDescent="0.3">
      <c r="A420" t="s">
        <v>28</v>
      </c>
      <c r="B420">
        <v>40</v>
      </c>
      <c r="C420">
        <v>65000</v>
      </c>
      <c r="D420" t="s">
        <v>12</v>
      </c>
      <c r="E420" t="s">
        <v>20</v>
      </c>
      <c r="F420" t="s">
        <v>21</v>
      </c>
      <c r="G420">
        <v>2020</v>
      </c>
      <c r="H420" s="1">
        <v>43881</v>
      </c>
      <c r="I420" t="s">
        <v>22</v>
      </c>
      <c r="J420" t="s">
        <v>27</v>
      </c>
      <c r="K420">
        <v>3</v>
      </c>
      <c r="L420" t="str">
        <f>IF(AND(C420&gt; Sheet1!B426,K420&lt;3), "Misaligned","Aligned")</f>
        <v>Aligned</v>
      </c>
    </row>
    <row r="421" spans="1:12" x14ac:dyDescent="0.3">
      <c r="A421" t="s">
        <v>11</v>
      </c>
      <c r="B421">
        <v>25</v>
      </c>
      <c r="C421" t="s">
        <v>18</v>
      </c>
      <c r="D421" t="s">
        <v>12</v>
      </c>
      <c r="E421" t="s">
        <v>33</v>
      </c>
      <c r="F421" t="s">
        <v>14</v>
      </c>
      <c r="G421">
        <v>2020</v>
      </c>
      <c r="H421" s="1">
        <v>43881</v>
      </c>
      <c r="I421" t="s">
        <v>22</v>
      </c>
      <c r="J421" t="s">
        <v>38</v>
      </c>
      <c r="K421">
        <v>4</v>
      </c>
      <c r="L421" t="str">
        <f>IF(AND(C421&gt; Sheet1!B427,K421&lt;3), "Misaligned","Aligned")</f>
        <v>Aligned</v>
      </c>
    </row>
    <row r="422" spans="1:12" x14ac:dyDescent="0.3">
      <c r="A422" t="s">
        <v>17</v>
      </c>
      <c r="B422">
        <v>25</v>
      </c>
      <c r="C422" t="s">
        <v>18</v>
      </c>
      <c r="D422" t="s">
        <v>32</v>
      </c>
      <c r="E422" t="s">
        <v>20</v>
      </c>
      <c r="F422" t="s">
        <v>40</v>
      </c>
      <c r="G422">
        <v>2020</v>
      </c>
      <c r="H422" s="1">
        <v>43881</v>
      </c>
      <c r="I422" t="s">
        <v>22</v>
      </c>
      <c r="J422" t="s">
        <v>16</v>
      </c>
      <c r="K422">
        <v>2</v>
      </c>
      <c r="L422" t="str">
        <f>IF(AND(C422&gt; Sheet1!B428,K422&lt;3), "Misaligned","Aligned")</f>
        <v>Misaligned</v>
      </c>
    </row>
    <row r="423" spans="1:12" x14ac:dyDescent="0.3">
      <c r="A423" t="s">
        <v>43</v>
      </c>
      <c r="B423">
        <v>40</v>
      </c>
      <c r="C423">
        <v>60000</v>
      </c>
      <c r="D423" t="s">
        <v>32</v>
      </c>
      <c r="E423" t="s">
        <v>25</v>
      </c>
      <c r="F423" t="s">
        <v>40</v>
      </c>
      <c r="G423">
        <v>2020</v>
      </c>
      <c r="H423" s="1">
        <v>43845</v>
      </c>
      <c r="I423" t="s">
        <v>26</v>
      </c>
      <c r="J423" t="s">
        <v>38</v>
      </c>
      <c r="K423">
        <v>4</v>
      </c>
      <c r="L423" t="str">
        <f>IF(AND(C423&gt; Sheet1!B429,K423&lt;3), "Misaligned","Aligned")</f>
        <v>Aligned</v>
      </c>
    </row>
    <row r="424" spans="1:12" x14ac:dyDescent="0.3">
      <c r="A424" t="s">
        <v>28</v>
      </c>
      <c r="B424">
        <v>50</v>
      </c>
      <c r="C424">
        <v>65000</v>
      </c>
      <c r="D424" t="s">
        <v>12</v>
      </c>
      <c r="E424" t="s">
        <v>13</v>
      </c>
      <c r="F424" t="s">
        <v>14</v>
      </c>
      <c r="G424">
        <v>2019</v>
      </c>
      <c r="H424" s="1">
        <v>43800</v>
      </c>
      <c r="I424" t="s">
        <v>37</v>
      </c>
      <c r="J424" t="s">
        <v>23</v>
      </c>
      <c r="K424">
        <v>1</v>
      </c>
      <c r="L424" t="str">
        <f>IF(AND(C424&gt; Sheet1!B430,K424&lt;3), "Misaligned","Aligned")</f>
        <v>Misaligned</v>
      </c>
    </row>
    <row r="425" spans="1:12" x14ac:dyDescent="0.3">
      <c r="A425" t="s">
        <v>11</v>
      </c>
      <c r="B425">
        <v>25</v>
      </c>
      <c r="C425">
        <v>50000</v>
      </c>
      <c r="D425" t="s">
        <v>19</v>
      </c>
      <c r="E425" t="s">
        <v>33</v>
      </c>
      <c r="F425" t="s">
        <v>40</v>
      </c>
      <c r="G425">
        <v>2020</v>
      </c>
      <c r="H425" s="1">
        <v>43881</v>
      </c>
      <c r="I425" t="s">
        <v>22</v>
      </c>
      <c r="J425" t="s">
        <v>30</v>
      </c>
      <c r="K425">
        <v>5</v>
      </c>
      <c r="L425" t="str">
        <f>IF(AND(C425&gt; Sheet1!B431,K425&lt;3), "Misaligned","Aligned")</f>
        <v>Aligned</v>
      </c>
    </row>
    <row r="426" spans="1:12" x14ac:dyDescent="0.3">
      <c r="A426" t="s">
        <v>31</v>
      </c>
      <c r="B426">
        <v>25</v>
      </c>
      <c r="C426">
        <v>65000</v>
      </c>
      <c r="D426" t="s">
        <v>19</v>
      </c>
      <c r="E426" t="s">
        <v>33</v>
      </c>
      <c r="F426" t="s">
        <v>14</v>
      </c>
      <c r="G426">
        <v>2019</v>
      </c>
      <c r="H426" s="1">
        <v>43800</v>
      </c>
      <c r="I426" t="s">
        <v>37</v>
      </c>
      <c r="J426" t="s">
        <v>27</v>
      </c>
      <c r="K426">
        <v>3</v>
      </c>
      <c r="L426" t="str">
        <f>IF(AND(C426&gt; Sheet1!B432,K426&lt;3), "Misaligned","Aligned")</f>
        <v>Aligned</v>
      </c>
    </row>
    <row r="427" spans="1:12" x14ac:dyDescent="0.3">
      <c r="A427" t="s">
        <v>31</v>
      </c>
      <c r="B427">
        <v>25</v>
      </c>
      <c r="C427">
        <v>65000</v>
      </c>
      <c r="D427" t="s">
        <v>32</v>
      </c>
      <c r="E427" t="s">
        <v>25</v>
      </c>
      <c r="F427" t="s">
        <v>14</v>
      </c>
      <c r="G427">
        <v>2020</v>
      </c>
      <c r="H427" s="1">
        <v>43845</v>
      </c>
      <c r="I427" t="s">
        <v>26</v>
      </c>
      <c r="J427" t="s">
        <v>23</v>
      </c>
      <c r="K427">
        <v>1</v>
      </c>
      <c r="L427" t="str">
        <f>IF(AND(C427&gt; Sheet1!B433,K427&lt;3), "Misaligned","Aligned")</f>
        <v>Misaligned</v>
      </c>
    </row>
    <row r="428" spans="1:12" x14ac:dyDescent="0.3">
      <c r="A428" t="s">
        <v>41</v>
      </c>
      <c r="B428" t="s">
        <v>18</v>
      </c>
      <c r="C428">
        <v>50000</v>
      </c>
      <c r="D428" t="s">
        <v>32</v>
      </c>
      <c r="E428" t="s">
        <v>20</v>
      </c>
      <c r="F428" t="s">
        <v>36</v>
      </c>
      <c r="G428">
        <v>2019</v>
      </c>
      <c r="H428" s="1">
        <v>43800</v>
      </c>
      <c r="I428" t="s">
        <v>37</v>
      </c>
      <c r="J428" t="s">
        <v>16</v>
      </c>
      <c r="K428">
        <v>2</v>
      </c>
      <c r="L428" t="str">
        <f>IF(AND(C428&gt; Sheet1!B434,K428&lt;3), "Misaligned","Aligned")</f>
        <v>Misaligned</v>
      </c>
    </row>
    <row r="429" spans="1:12" x14ac:dyDescent="0.3">
      <c r="A429" t="s">
        <v>28</v>
      </c>
      <c r="B429" t="s">
        <v>18</v>
      </c>
      <c r="C429">
        <v>70000</v>
      </c>
      <c r="D429" t="s">
        <v>32</v>
      </c>
      <c r="E429" t="s">
        <v>13</v>
      </c>
      <c r="F429" t="s">
        <v>39</v>
      </c>
      <c r="G429">
        <v>2019</v>
      </c>
      <c r="H429" s="1">
        <v>43549</v>
      </c>
      <c r="I429" t="s">
        <v>34</v>
      </c>
      <c r="J429" t="s">
        <v>23</v>
      </c>
      <c r="K429">
        <v>1</v>
      </c>
      <c r="L429" t="str">
        <f>IF(AND(C429&gt; Sheet1!B435,K429&lt;3), "Misaligned","Aligned")</f>
        <v>Misaligned</v>
      </c>
    </row>
    <row r="430" spans="1:12" x14ac:dyDescent="0.3">
      <c r="A430" t="s">
        <v>17</v>
      </c>
      <c r="B430">
        <v>35</v>
      </c>
      <c r="C430">
        <v>65000</v>
      </c>
      <c r="D430" t="s">
        <v>32</v>
      </c>
      <c r="E430" t="s">
        <v>20</v>
      </c>
      <c r="F430" t="s">
        <v>40</v>
      </c>
      <c r="G430">
        <v>2019</v>
      </c>
      <c r="H430" s="1">
        <v>43800</v>
      </c>
      <c r="I430" t="s">
        <v>37</v>
      </c>
      <c r="J430" t="s">
        <v>23</v>
      </c>
      <c r="K430">
        <v>1</v>
      </c>
      <c r="L430" t="str">
        <f>IF(AND(C430&gt; Sheet1!B436,K430&lt;3), "Misaligned","Aligned")</f>
        <v>Misaligned</v>
      </c>
    </row>
    <row r="431" spans="1:12" x14ac:dyDescent="0.3">
      <c r="A431" t="s">
        <v>42</v>
      </c>
      <c r="B431">
        <v>30</v>
      </c>
      <c r="C431">
        <v>65000</v>
      </c>
      <c r="D431" t="s">
        <v>32</v>
      </c>
      <c r="E431" t="s">
        <v>29</v>
      </c>
      <c r="F431" t="s">
        <v>40</v>
      </c>
      <c r="G431">
        <v>2020</v>
      </c>
      <c r="H431" s="1">
        <v>43881</v>
      </c>
      <c r="I431" t="s">
        <v>22</v>
      </c>
      <c r="J431" t="s">
        <v>16</v>
      </c>
      <c r="K431">
        <v>2</v>
      </c>
      <c r="L431" t="str">
        <f>IF(AND(C431&gt; Sheet1!B437,K431&lt;3), "Misaligned","Aligned")</f>
        <v>Misaligned</v>
      </c>
    </row>
    <row r="432" spans="1:12" x14ac:dyDescent="0.3">
      <c r="A432" t="s">
        <v>17</v>
      </c>
      <c r="B432">
        <v>40</v>
      </c>
      <c r="C432">
        <v>70000</v>
      </c>
      <c r="D432" t="s">
        <v>19</v>
      </c>
      <c r="E432" t="s">
        <v>20</v>
      </c>
      <c r="F432" t="s">
        <v>36</v>
      </c>
      <c r="G432">
        <v>2020</v>
      </c>
      <c r="H432" s="1">
        <v>43845</v>
      </c>
      <c r="I432" t="s">
        <v>26</v>
      </c>
      <c r="J432" t="s">
        <v>23</v>
      </c>
      <c r="K432">
        <v>1</v>
      </c>
      <c r="L432" t="str">
        <f>IF(AND(C432&gt; Sheet1!B438,K432&lt;3), "Misaligned","Aligned")</f>
        <v>Misaligned</v>
      </c>
    </row>
    <row r="433" spans="1:12" x14ac:dyDescent="0.3">
      <c r="A433" t="s">
        <v>31</v>
      </c>
      <c r="B433">
        <v>40</v>
      </c>
      <c r="C433">
        <v>65000</v>
      </c>
      <c r="D433" t="s">
        <v>32</v>
      </c>
      <c r="E433" t="s">
        <v>33</v>
      </c>
      <c r="F433" t="s">
        <v>36</v>
      </c>
      <c r="G433">
        <v>2020</v>
      </c>
      <c r="H433" s="1">
        <v>43881</v>
      </c>
      <c r="I433" t="s">
        <v>22</v>
      </c>
      <c r="J433" t="s">
        <v>27</v>
      </c>
      <c r="K433">
        <v>3</v>
      </c>
      <c r="L433" t="str">
        <f>IF(AND(C433&gt; Sheet1!B439,K433&lt;3), "Misaligned","Aligned")</f>
        <v>Aligned</v>
      </c>
    </row>
    <row r="434" spans="1:12" x14ac:dyDescent="0.3">
      <c r="A434" t="s">
        <v>31</v>
      </c>
      <c r="B434">
        <v>40</v>
      </c>
      <c r="C434">
        <v>65000</v>
      </c>
      <c r="D434" t="s">
        <v>12</v>
      </c>
      <c r="E434" t="s">
        <v>13</v>
      </c>
      <c r="F434" t="s">
        <v>36</v>
      </c>
      <c r="G434">
        <v>2019</v>
      </c>
      <c r="H434" s="1">
        <v>43549</v>
      </c>
      <c r="I434" t="s">
        <v>34</v>
      </c>
      <c r="J434" t="s">
        <v>38</v>
      </c>
      <c r="K434">
        <v>4</v>
      </c>
      <c r="L434" t="str">
        <f>IF(AND(C434&gt; Sheet1!B440,K434&lt;3), "Misaligned","Aligned")</f>
        <v>Aligned</v>
      </c>
    </row>
    <row r="435" spans="1:12" x14ac:dyDescent="0.3">
      <c r="A435" t="s">
        <v>35</v>
      </c>
      <c r="B435">
        <v>35</v>
      </c>
      <c r="C435">
        <v>65000</v>
      </c>
      <c r="D435" t="s">
        <v>12</v>
      </c>
      <c r="E435" t="s">
        <v>20</v>
      </c>
      <c r="F435" t="s">
        <v>21</v>
      </c>
      <c r="G435">
        <v>2020</v>
      </c>
      <c r="H435" s="1">
        <v>43881</v>
      </c>
      <c r="I435" t="s">
        <v>22</v>
      </c>
      <c r="J435" t="s">
        <v>23</v>
      </c>
      <c r="K435">
        <v>1</v>
      </c>
      <c r="L435" t="str">
        <f>IF(AND(C435&gt; Sheet1!B441,K435&lt;3), "Misaligned","Aligned")</f>
        <v>Misaligned</v>
      </c>
    </row>
    <row r="436" spans="1:12" x14ac:dyDescent="0.3">
      <c r="A436" t="s">
        <v>31</v>
      </c>
      <c r="B436" t="s">
        <v>18</v>
      </c>
      <c r="C436" t="s">
        <v>18</v>
      </c>
      <c r="D436" t="s">
        <v>19</v>
      </c>
      <c r="E436" t="s">
        <v>13</v>
      </c>
      <c r="F436" t="s">
        <v>21</v>
      </c>
      <c r="G436">
        <v>2020</v>
      </c>
      <c r="H436" s="1">
        <v>43881</v>
      </c>
      <c r="I436" t="s">
        <v>22</v>
      </c>
      <c r="J436" t="s">
        <v>27</v>
      </c>
      <c r="K436">
        <v>3</v>
      </c>
      <c r="L436" t="str">
        <f>IF(AND(C436&gt; Sheet1!B442,K436&lt;3), "Misaligned","Aligned")</f>
        <v>Aligned</v>
      </c>
    </row>
    <row r="437" spans="1:12" x14ac:dyDescent="0.3">
      <c r="A437" t="s">
        <v>43</v>
      </c>
      <c r="B437">
        <v>50</v>
      </c>
      <c r="C437">
        <v>55000</v>
      </c>
      <c r="D437" t="s">
        <v>12</v>
      </c>
      <c r="E437" t="s">
        <v>13</v>
      </c>
      <c r="F437" t="s">
        <v>21</v>
      </c>
      <c r="G437">
        <v>2020</v>
      </c>
      <c r="H437" s="1">
        <v>43881</v>
      </c>
      <c r="I437" t="s">
        <v>22</v>
      </c>
      <c r="J437" t="s">
        <v>38</v>
      </c>
      <c r="K437">
        <v>4</v>
      </c>
      <c r="L437" t="str">
        <f>IF(AND(C437&gt; Sheet1!B443,K437&lt;3), "Misaligned","Aligned")</f>
        <v>Aligned</v>
      </c>
    </row>
    <row r="438" spans="1:12" x14ac:dyDescent="0.3">
      <c r="A438" t="s">
        <v>24</v>
      </c>
      <c r="B438">
        <v>50</v>
      </c>
      <c r="C438">
        <v>70000</v>
      </c>
      <c r="D438" t="s">
        <v>19</v>
      </c>
      <c r="E438" t="s">
        <v>29</v>
      </c>
      <c r="F438" t="s">
        <v>14</v>
      </c>
      <c r="G438">
        <v>2018</v>
      </c>
      <c r="H438" s="1">
        <v>43195</v>
      </c>
      <c r="I438" t="s">
        <v>15</v>
      </c>
      <c r="J438" t="s">
        <v>38</v>
      </c>
      <c r="K438">
        <v>4</v>
      </c>
      <c r="L438" t="str">
        <f>IF(AND(C438&gt; Sheet1!B444,K438&lt;3), "Misaligned","Aligned")</f>
        <v>Aligned</v>
      </c>
    </row>
    <row r="439" spans="1:12" x14ac:dyDescent="0.3">
      <c r="A439" t="s">
        <v>28</v>
      </c>
      <c r="B439">
        <v>35</v>
      </c>
      <c r="C439">
        <v>65000</v>
      </c>
      <c r="D439" t="s">
        <v>19</v>
      </c>
      <c r="E439" t="s">
        <v>29</v>
      </c>
      <c r="F439" t="s">
        <v>40</v>
      </c>
      <c r="G439">
        <v>2019</v>
      </c>
      <c r="H439" s="1">
        <v>43549</v>
      </c>
      <c r="I439" t="s">
        <v>34</v>
      </c>
      <c r="J439" t="s">
        <v>23</v>
      </c>
      <c r="K439">
        <v>1</v>
      </c>
      <c r="L439" t="str">
        <f>IF(AND(C439&gt; Sheet1!B445,K439&lt;3), "Misaligned","Aligned")</f>
        <v>Misaligned</v>
      </c>
    </row>
    <row r="440" spans="1:12" x14ac:dyDescent="0.3">
      <c r="A440" t="s">
        <v>17</v>
      </c>
      <c r="B440">
        <v>50</v>
      </c>
      <c r="C440" t="s">
        <v>18</v>
      </c>
      <c r="D440" t="s">
        <v>12</v>
      </c>
      <c r="E440" t="s">
        <v>33</v>
      </c>
      <c r="F440" t="s">
        <v>39</v>
      </c>
      <c r="G440">
        <v>2020</v>
      </c>
      <c r="H440" s="1">
        <v>43881</v>
      </c>
      <c r="I440" t="s">
        <v>22</v>
      </c>
      <c r="J440" t="s">
        <v>27</v>
      </c>
      <c r="K440">
        <v>3</v>
      </c>
      <c r="L440" t="str">
        <f>IF(AND(C440&gt; Sheet1!B446,K440&lt;3), "Misaligned","Aligned")</f>
        <v>Aligned</v>
      </c>
    </row>
    <row r="441" spans="1:12" x14ac:dyDescent="0.3">
      <c r="A441" t="s">
        <v>24</v>
      </c>
      <c r="B441">
        <v>40</v>
      </c>
      <c r="C441">
        <v>70000</v>
      </c>
      <c r="D441" t="s">
        <v>32</v>
      </c>
      <c r="E441" t="s">
        <v>25</v>
      </c>
      <c r="F441" t="s">
        <v>14</v>
      </c>
      <c r="G441">
        <v>2020</v>
      </c>
      <c r="H441" s="1">
        <v>43881</v>
      </c>
      <c r="I441" t="s">
        <v>22</v>
      </c>
      <c r="J441" t="s">
        <v>23</v>
      </c>
      <c r="K441">
        <v>1</v>
      </c>
      <c r="L441" t="str">
        <f>IF(AND(C441&gt; Sheet1!B447,K441&lt;3), "Misaligned","Aligned")</f>
        <v>Misaligned</v>
      </c>
    </row>
    <row r="442" spans="1:12" x14ac:dyDescent="0.3">
      <c r="A442" t="s">
        <v>11</v>
      </c>
      <c r="B442">
        <v>30</v>
      </c>
      <c r="C442">
        <v>60000</v>
      </c>
      <c r="D442" t="s">
        <v>12</v>
      </c>
      <c r="E442" t="s">
        <v>13</v>
      </c>
      <c r="F442" t="s">
        <v>40</v>
      </c>
      <c r="G442">
        <v>2020</v>
      </c>
      <c r="H442" s="1">
        <v>43881</v>
      </c>
      <c r="I442" t="s">
        <v>22</v>
      </c>
      <c r="J442" t="s">
        <v>16</v>
      </c>
      <c r="K442">
        <v>2</v>
      </c>
      <c r="L442" t="str">
        <f>IF(AND(C442&gt; Sheet1!B448,K442&lt;3), "Misaligned","Aligned")</f>
        <v>Misaligned</v>
      </c>
    </row>
    <row r="443" spans="1:12" x14ac:dyDescent="0.3">
      <c r="A443" t="s">
        <v>42</v>
      </c>
      <c r="B443">
        <v>25</v>
      </c>
      <c r="C443">
        <v>60000</v>
      </c>
      <c r="D443" t="s">
        <v>12</v>
      </c>
      <c r="E443" t="s">
        <v>25</v>
      </c>
      <c r="F443" t="s">
        <v>40</v>
      </c>
      <c r="G443">
        <v>2020</v>
      </c>
      <c r="H443" s="1">
        <v>43845</v>
      </c>
      <c r="I443" t="s">
        <v>26</v>
      </c>
      <c r="J443" t="s">
        <v>38</v>
      </c>
      <c r="K443">
        <v>4</v>
      </c>
      <c r="L443" t="str">
        <f>IF(AND(C443&gt; Sheet1!B449,K443&lt;3), "Misaligned","Aligned")</f>
        <v>Aligned</v>
      </c>
    </row>
    <row r="444" spans="1:12" x14ac:dyDescent="0.3">
      <c r="A444" t="s">
        <v>43</v>
      </c>
      <c r="B444" t="s">
        <v>18</v>
      </c>
      <c r="C444">
        <v>65000</v>
      </c>
      <c r="D444" t="s">
        <v>19</v>
      </c>
      <c r="E444" t="s">
        <v>33</v>
      </c>
      <c r="F444" t="s">
        <v>36</v>
      </c>
      <c r="G444">
        <v>2018</v>
      </c>
      <c r="H444" s="1">
        <v>43195</v>
      </c>
      <c r="I444" t="s">
        <v>15</v>
      </c>
      <c r="J444" t="s">
        <v>23</v>
      </c>
      <c r="K444">
        <v>1</v>
      </c>
      <c r="L444" t="str">
        <f>IF(AND(C444&gt; Sheet1!B450,K444&lt;3), "Misaligned","Aligned")</f>
        <v>Misaligned</v>
      </c>
    </row>
    <row r="445" spans="1:12" x14ac:dyDescent="0.3">
      <c r="A445" t="s">
        <v>17</v>
      </c>
      <c r="B445" t="s">
        <v>18</v>
      </c>
      <c r="C445" t="s">
        <v>18</v>
      </c>
      <c r="D445" t="s">
        <v>12</v>
      </c>
      <c r="E445" t="s">
        <v>13</v>
      </c>
      <c r="F445" t="s">
        <v>36</v>
      </c>
      <c r="G445">
        <v>2020</v>
      </c>
      <c r="H445" s="1">
        <v>43845</v>
      </c>
      <c r="I445" t="s">
        <v>26</v>
      </c>
      <c r="J445" t="s">
        <v>38</v>
      </c>
      <c r="K445">
        <v>4</v>
      </c>
      <c r="L445" t="str">
        <f>IF(AND(C445&gt; Sheet1!B451,K445&lt;3), "Misaligned","Aligned")</f>
        <v>Aligned</v>
      </c>
    </row>
    <row r="446" spans="1:12" x14ac:dyDescent="0.3">
      <c r="A446" t="s">
        <v>24</v>
      </c>
      <c r="B446">
        <v>35</v>
      </c>
      <c r="C446" t="s">
        <v>18</v>
      </c>
      <c r="D446" t="s">
        <v>19</v>
      </c>
      <c r="E446" t="s">
        <v>13</v>
      </c>
      <c r="F446" t="s">
        <v>14</v>
      </c>
      <c r="G446">
        <v>2018</v>
      </c>
      <c r="H446" s="1">
        <v>43195</v>
      </c>
      <c r="I446" t="s">
        <v>15</v>
      </c>
      <c r="J446" t="s">
        <v>27</v>
      </c>
      <c r="K446">
        <v>3</v>
      </c>
      <c r="L446" t="str">
        <f>IF(AND(C446&gt; Sheet1!B452,K446&lt;3), "Misaligned","Aligned")</f>
        <v>Aligned</v>
      </c>
    </row>
    <row r="447" spans="1:12" x14ac:dyDescent="0.3">
      <c r="A447" t="s">
        <v>42</v>
      </c>
      <c r="B447" t="s">
        <v>18</v>
      </c>
      <c r="C447">
        <v>70000</v>
      </c>
      <c r="D447" t="s">
        <v>32</v>
      </c>
      <c r="E447" t="s">
        <v>25</v>
      </c>
      <c r="F447" t="s">
        <v>36</v>
      </c>
      <c r="G447">
        <v>2020</v>
      </c>
      <c r="H447" s="1">
        <v>43881</v>
      </c>
      <c r="I447" t="s">
        <v>22</v>
      </c>
      <c r="J447" t="s">
        <v>30</v>
      </c>
      <c r="K447">
        <v>5</v>
      </c>
      <c r="L447" t="str">
        <f>IF(AND(C447&gt; Sheet1!B453,K447&lt;3), "Misaligned","Aligned")</f>
        <v>Aligned</v>
      </c>
    </row>
    <row r="448" spans="1:12" x14ac:dyDescent="0.3">
      <c r="A448" t="s">
        <v>35</v>
      </c>
      <c r="B448">
        <v>40</v>
      </c>
      <c r="C448">
        <v>70000</v>
      </c>
      <c r="D448" t="s">
        <v>32</v>
      </c>
      <c r="E448" t="s">
        <v>20</v>
      </c>
      <c r="F448" t="s">
        <v>40</v>
      </c>
      <c r="G448">
        <v>2019</v>
      </c>
      <c r="H448" s="1">
        <v>43549</v>
      </c>
      <c r="I448" t="s">
        <v>34</v>
      </c>
      <c r="J448" t="s">
        <v>23</v>
      </c>
      <c r="K448">
        <v>1</v>
      </c>
      <c r="L448" t="str">
        <f>IF(AND(C448&gt; Sheet1!B454,K448&lt;3), "Misaligned","Aligned")</f>
        <v>Misaligned</v>
      </c>
    </row>
    <row r="449" spans="1:12" x14ac:dyDescent="0.3">
      <c r="A449" t="s">
        <v>43</v>
      </c>
      <c r="B449">
        <v>50</v>
      </c>
      <c r="C449" t="s">
        <v>18</v>
      </c>
      <c r="D449" t="s">
        <v>32</v>
      </c>
      <c r="E449" t="s">
        <v>29</v>
      </c>
      <c r="F449" t="s">
        <v>36</v>
      </c>
      <c r="G449">
        <v>2019</v>
      </c>
      <c r="H449" s="1">
        <v>43800</v>
      </c>
      <c r="I449" t="s">
        <v>37</v>
      </c>
      <c r="J449" t="s">
        <v>23</v>
      </c>
      <c r="K449">
        <v>1</v>
      </c>
      <c r="L449" t="str">
        <f>IF(AND(C449&gt; Sheet1!B455,K449&lt;3), "Misaligned","Aligned")</f>
        <v>Misaligned</v>
      </c>
    </row>
    <row r="450" spans="1:12" x14ac:dyDescent="0.3">
      <c r="A450" t="s">
        <v>43</v>
      </c>
      <c r="B450">
        <v>40</v>
      </c>
      <c r="C450">
        <v>70000</v>
      </c>
      <c r="D450" t="s">
        <v>12</v>
      </c>
      <c r="E450" t="s">
        <v>20</v>
      </c>
      <c r="F450" t="s">
        <v>21</v>
      </c>
      <c r="G450">
        <v>2019</v>
      </c>
      <c r="H450" s="1">
        <v>43800</v>
      </c>
      <c r="I450" t="s">
        <v>37</v>
      </c>
      <c r="J450" t="s">
        <v>38</v>
      </c>
      <c r="K450">
        <v>4</v>
      </c>
      <c r="L450" t="str">
        <f>IF(AND(C450&gt; Sheet1!B456,K450&lt;3), "Misaligned","Aligned")</f>
        <v>Aligned</v>
      </c>
    </row>
    <row r="451" spans="1:12" x14ac:dyDescent="0.3">
      <c r="A451" t="s">
        <v>35</v>
      </c>
      <c r="B451">
        <v>35</v>
      </c>
      <c r="C451" t="s">
        <v>18</v>
      </c>
      <c r="D451" t="s">
        <v>19</v>
      </c>
      <c r="E451" t="s">
        <v>25</v>
      </c>
      <c r="F451" t="s">
        <v>36</v>
      </c>
      <c r="G451">
        <v>2020</v>
      </c>
      <c r="H451" s="1">
        <v>43881</v>
      </c>
      <c r="I451" t="s">
        <v>22</v>
      </c>
      <c r="J451" t="s">
        <v>27</v>
      </c>
      <c r="K451">
        <v>3</v>
      </c>
      <c r="L451" t="str">
        <f>IF(AND(C451&gt; Sheet1!B457,K451&lt;3), "Misaligned","Aligned")</f>
        <v>Aligned</v>
      </c>
    </row>
    <row r="452" spans="1:12" x14ac:dyDescent="0.3">
      <c r="A452" t="s">
        <v>28</v>
      </c>
      <c r="B452">
        <v>40</v>
      </c>
      <c r="C452">
        <v>55000</v>
      </c>
      <c r="D452" t="s">
        <v>32</v>
      </c>
      <c r="E452" t="s">
        <v>29</v>
      </c>
      <c r="F452" t="s">
        <v>40</v>
      </c>
      <c r="G452">
        <v>2020</v>
      </c>
      <c r="H452" s="1">
        <v>43845</v>
      </c>
      <c r="I452" t="s">
        <v>26</v>
      </c>
      <c r="J452" t="s">
        <v>16</v>
      </c>
      <c r="K452">
        <v>2</v>
      </c>
      <c r="L452" t="str">
        <f>IF(AND(C452&gt; Sheet1!B458,K452&lt;3), "Misaligned","Aligned")</f>
        <v>Misaligned</v>
      </c>
    </row>
    <row r="453" spans="1:12" x14ac:dyDescent="0.3">
      <c r="A453" t="s">
        <v>35</v>
      </c>
      <c r="B453">
        <v>50</v>
      </c>
      <c r="C453" t="s">
        <v>18</v>
      </c>
      <c r="D453" t="s">
        <v>19</v>
      </c>
      <c r="E453" t="s">
        <v>20</v>
      </c>
      <c r="F453" t="s">
        <v>14</v>
      </c>
      <c r="G453">
        <v>2019</v>
      </c>
      <c r="H453" s="1">
        <v>43549</v>
      </c>
      <c r="I453" t="s">
        <v>34</v>
      </c>
      <c r="J453" t="s">
        <v>27</v>
      </c>
      <c r="K453">
        <v>3</v>
      </c>
      <c r="L453" t="str">
        <f>IF(AND(C453&gt; Sheet1!B459,K453&lt;3), "Misaligned","Aligned")</f>
        <v>Aligned</v>
      </c>
    </row>
    <row r="454" spans="1:12" x14ac:dyDescent="0.3">
      <c r="A454" t="s">
        <v>43</v>
      </c>
      <c r="B454">
        <v>30</v>
      </c>
      <c r="C454">
        <v>60000</v>
      </c>
      <c r="D454" t="s">
        <v>19</v>
      </c>
      <c r="E454" t="s">
        <v>29</v>
      </c>
      <c r="F454" t="s">
        <v>39</v>
      </c>
      <c r="G454">
        <v>2018</v>
      </c>
      <c r="H454" s="1">
        <v>43195</v>
      </c>
      <c r="I454" t="s">
        <v>15</v>
      </c>
      <c r="J454" t="s">
        <v>23</v>
      </c>
      <c r="K454">
        <v>1</v>
      </c>
      <c r="L454" t="str">
        <f>IF(AND(C454&gt; Sheet1!B460,K454&lt;3), "Misaligned","Aligned")</f>
        <v>Misaligned</v>
      </c>
    </row>
    <row r="455" spans="1:12" x14ac:dyDescent="0.3">
      <c r="A455" t="s">
        <v>43</v>
      </c>
      <c r="B455">
        <v>35</v>
      </c>
      <c r="C455">
        <v>70000</v>
      </c>
      <c r="D455" t="s">
        <v>32</v>
      </c>
      <c r="E455" t="s">
        <v>13</v>
      </c>
      <c r="F455" t="s">
        <v>36</v>
      </c>
      <c r="G455">
        <v>2020</v>
      </c>
      <c r="H455" s="1">
        <v>43881</v>
      </c>
      <c r="I455" t="s">
        <v>22</v>
      </c>
      <c r="J455" t="s">
        <v>16</v>
      </c>
      <c r="K455">
        <v>2</v>
      </c>
      <c r="L455" t="str">
        <f>IF(AND(C455&gt; Sheet1!B461,K455&lt;3), "Misaligned","Aligned")</f>
        <v>Misaligned</v>
      </c>
    </row>
    <row r="456" spans="1:12" x14ac:dyDescent="0.3">
      <c r="A456" t="s">
        <v>24</v>
      </c>
      <c r="B456">
        <v>30</v>
      </c>
      <c r="C456" t="s">
        <v>18</v>
      </c>
      <c r="D456" t="s">
        <v>32</v>
      </c>
      <c r="E456" t="s">
        <v>20</v>
      </c>
      <c r="F456" t="s">
        <v>40</v>
      </c>
      <c r="G456">
        <v>2019</v>
      </c>
      <c r="H456" s="1">
        <v>43549</v>
      </c>
      <c r="I456" t="s">
        <v>34</v>
      </c>
      <c r="J456" t="s">
        <v>27</v>
      </c>
      <c r="K456">
        <v>3</v>
      </c>
      <c r="L456" t="str">
        <f>IF(AND(C456&gt; Sheet1!B462,K456&lt;3), "Misaligned","Aligned")</f>
        <v>Aligned</v>
      </c>
    </row>
    <row r="457" spans="1:12" x14ac:dyDescent="0.3">
      <c r="A457" t="s">
        <v>31</v>
      </c>
      <c r="B457">
        <v>25</v>
      </c>
      <c r="C457" t="s">
        <v>18</v>
      </c>
      <c r="D457" t="s">
        <v>19</v>
      </c>
      <c r="E457" t="s">
        <v>29</v>
      </c>
      <c r="F457" t="s">
        <v>39</v>
      </c>
      <c r="G457">
        <v>2019</v>
      </c>
      <c r="H457" s="1">
        <v>43549</v>
      </c>
      <c r="I457" t="s">
        <v>34</v>
      </c>
      <c r="J457" t="s">
        <v>30</v>
      </c>
      <c r="K457">
        <v>5</v>
      </c>
      <c r="L457" t="str">
        <f>IF(AND(C457&gt; Sheet1!B463,K457&lt;3), "Misaligned","Aligned")</f>
        <v>Aligned</v>
      </c>
    </row>
    <row r="458" spans="1:12" x14ac:dyDescent="0.3">
      <c r="A458" t="s">
        <v>42</v>
      </c>
      <c r="B458">
        <v>30</v>
      </c>
      <c r="C458">
        <v>70000</v>
      </c>
      <c r="D458" t="s">
        <v>32</v>
      </c>
      <c r="E458" t="s">
        <v>29</v>
      </c>
      <c r="F458" t="s">
        <v>39</v>
      </c>
      <c r="G458">
        <v>2018</v>
      </c>
      <c r="H458" s="1">
        <v>43195</v>
      </c>
      <c r="I458" t="s">
        <v>15</v>
      </c>
      <c r="J458" t="s">
        <v>38</v>
      </c>
      <c r="K458">
        <v>4</v>
      </c>
      <c r="L458" t="str">
        <f>IF(AND(C458&gt; Sheet1!B464,K458&lt;3), "Misaligned","Aligned")</f>
        <v>Aligned</v>
      </c>
    </row>
    <row r="459" spans="1:12" x14ac:dyDescent="0.3">
      <c r="A459" t="s">
        <v>35</v>
      </c>
      <c r="B459">
        <v>25</v>
      </c>
      <c r="C459">
        <v>55000</v>
      </c>
      <c r="D459" t="s">
        <v>19</v>
      </c>
      <c r="E459" t="s">
        <v>29</v>
      </c>
      <c r="F459" t="s">
        <v>21</v>
      </c>
      <c r="G459">
        <v>2019</v>
      </c>
      <c r="H459" s="1">
        <v>43549</v>
      </c>
      <c r="I459" t="s">
        <v>34</v>
      </c>
      <c r="J459" t="s">
        <v>27</v>
      </c>
      <c r="K459">
        <v>3</v>
      </c>
      <c r="L459" t="str">
        <f>IF(AND(C459&gt; Sheet1!B465,K459&lt;3), "Misaligned","Aligned")</f>
        <v>Aligned</v>
      </c>
    </row>
    <row r="460" spans="1:12" x14ac:dyDescent="0.3">
      <c r="A460" t="s">
        <v>42</v>
      </c>
      <c r="B460">
        <v>25</v>
      </c>
      <c r="C460">
        <v>55000</v>
      </c>
      <c r="D460" t="s">
        <v>19</v>
      </c>
      <c r="E460" t="s">
        <v>20</v>
      </c>
      <c r="F460" t="s">
        <v>39</v>
      </c>
      <c r="G460">
        <v>2020</v>
      </c>
      <c r="H460" s="1">
        <v>43845</v>
      </c>
      <c r="I460" t="s">
        <v>26</v>
      </c>
      <c r="J460" t="s">
        <v>27</v>
      </c>
      <c r="K460">
        <v>3</v>
      </c>
      <c r="L460" t="str">
        <f>IF(AND(C460&gt; Sheet1!B466,K460&lt;3), "Misaligned","Aligned")</f>
        <v>Aligned</v>
      </c>
    </row>
    <row r="461" spans="1:12" x14ac:dyDescent="0.3">
      <c r="A461" t="s">
        <v>35</v>
      </c>
      <c r="B461">
        <v>30</v>
      </c>
      <c r="C461">
        <v>70000</v>
      </c>
      <c r="D461" t="s">
        <v>32</v>
      </c>
      <c r="E461" t="s">
        <v>33</v>
      </c>
      <c r="F461" t="s">
        <v>40</v>
      </c>
      <c r="G461">
        <v>2020</v>
      </c>
      <c r="H461" s="1">
        <v>43845</v>
      </c>
      <c r="I461" t="s">
        <v>26</v>
      </c>
      <c r="J461" t="s">
        <v>30</v>
      </c>
      <c r="K461">
        <v>5</v>
      </c>
      <c r="L461" t="str">
        <f>IF(AND(C461&gt; Sheet1!B467,K461&lt;3), "Misaligned","Aligned")</f>
        <v>Aligned</v>
      </c>
    </row>
    <row r="462" spans="1:12" x14ac:dyDescent="0.3">
      <c r="A462" t="s">
        <v>11</v>
      </c>
      <c r="B462">
        <v>35</v>
      </c>
      <c r="C462">
        <v>50000</v>
      </c>
      <c r="D462" t="s">
        <v>12</v>
      </c>
      <c r="E462" t="s">
        <v>20</v>
      </c>
      <c r="F462" t="s">
        <v>40</v>
      </c>
      <c r="G462">
        <v>2020</v>
      </c>
      <c r="H462" s="1">
        <v>43845</v>
      </c>
      <c r="I462" t="s">
        <v>26</v>
      </c>
      <c r="J462" t="s">
        <v>23</v>
      </c>
      <c r="K462">
        <v>1</v>
      </c>
      <c r="L462" t="str">
        <f>IF(AND(C462&gt; Sheet1!B468,K462&lt;3), "Misaligned","Aligned")</f>
        <v>Misaligned</v>
      </c>
    </row>
    <row r="463" spans="1:12" x14ac:dyDescent="0.3">
      <c r="A463" t="s">
        <v>43</v>
      </c>
      <c r="B463">
        <v>50</v>
      </c>
      <c r="C463">
        <v>70000</v>
      </c>
      <c r="D463" t="s">
        <v>32</v>
      </c>
      <c r="E463" t="s">
        <v>25</v>
      </c>
      <c r="F463" t="s">
        <v>36</v>
      </c>
      <c r="G463">
        <v>2019</v>
      </c>
      <c r="H463" s="1">
        <v>43549</v>
      </c>
      <c r="I463" t="s">
        <v>34</v>
      </c>
      <c r="J463" t="s">
        <v>38</v>
      </c>
      <c r="K463">
        <v>4</v>
      </c>
      <c r="L463" t="str">
        <f>IF(AND(C463&gt; Sheet1!B469,K463&lt;3), "Misaligned","Aligned")</f>
        <v>Aligned</v>
      </c>
    </row>
    <row r="464" spans="1:12" x14ac:dyDescent="0.3">
      <c r="A464" t="s">
        <v>31</v>
      </c>
      <c r="B464">
        <v>40</v>
      </c>
      <c r="C464">
        <v>70000</v>
      </c>
      <c r="D464" t="s">
        <v>12</v>
      </c>
      <c r="E464" t="s">
        <v>20</v>
      </c>
      <c r="F464" t="s">
        <v>36</v>
      </c>
      <c r="G464">
        <v>2020</v>
      </c>
      <c r="H464" s="1">
        <v>43845</v>
      </c>
      <c r="I464" t="s">
        <v>26</v>
      </c>
      <c r="J464" t="s">
        <v>27</v>
      </c>
      <c r="K464">
        <v>3</v>
      </c>
      <c r="L464" t="str">
        <f>IF(AND(C464&gt; Sheet1!B470,K464&lt;3), "Misaligned","Aligned")</f>
        <v>Aligned</v>
      </c>
    </row>
    <row r="465" spans="1:12" x14ac:dyDescent="0.3">
      <c r="A465" t="s">
        <v>24</v>
      </c>
      <c r="B465">
        <v>40</v>
      </c>
      <c r="C465">
        <v>55000</v>
      </c>
      <c r="D465" t="s">
        <v>19</v>
      </c>
      <c r="E465" t="s">
        <v>29</v>
      </c>
      <c r="F465" t="s">
        <v>36</v>
      </c>
      <c r="G465">
        <v>2018</v>
      </c>
      <c r="H465" s="1">
        <v>43195</v>
      </c>
      <c r="I465" t="s">
        <v>15</v>
      </c>
      <c r="J465" t="s">
        <v>16</v>
      </c>
      <c r="K465">
        <v>2</v>
      </c>
      <c r="L465" t="str">
        <f>IF(AND(C465&gt; Sheet1!B471,K465&lt;3), "Misaligned","Aligned")</f>
        <v>Misaligned</v>
      </c>
    </row>
    <row r="466" spans="1:12" x14ac:dyDescent="0.3">
      <c r="A466" t="s">
        <v>31</v>
      </c>
      <c r="B466">
        <v>50</v>
      </c>
      <c r="C466">
        <v>55000</v>
      </c>
      <c r="D466" t="s">
        <v>19</v>
      </c>
      <c r="E466" t="s">
        <v>13</v>
      </c>
      <c r="F466" t="s">
        <v>39</v>
      </c>
      <c r="G466">
        <v>2019</v>
      </c>
      <c r="H466" s="1">
        <v>43549</v>
      </c>
      <c r="I466" t="s">
        <v>34</v>
      </c>
      <c r="J466" t="s">
        <v>27</v>
      </c>
      <c r="K466">
        <v>3</v>
      </c>
      <c r="L466" t="str">
        <f>IF(AND(C466&gt; Sheet1!B472,K466&lt;3), "Misaligned","Aligned")</f>
        <v>Aligned</v>
      </c>
    </row>
    <row r="467" spans="1:12" x14ac:dyDescent="0.3">
      <c r="A467" t="s">
        <v>31</v>
      </c>
      <c r="B467">
        <v>25</v>
      </c>
      <c r="C467">
        <v>70000</v>
      </c>
      <c r="D467" t="s">
        <v>12</v>
      </c>
      <c r="E467" t="s">
        <v>20</v>
      </c>
      <c r="F467" t="s">
        <v>39</v>
      </c>
      <c r="G467">
        <v>2019</v>
      </c>
      <c r="H467" s="1">
        <v>43800</v>
      </c>
      <c r="I467" t="s">
        <v>37</v>
      </c>
      <c r="J467" t="s">
        <v>38</v>
      </c>
      <c r="K467">
        <v>4</v>
      </c>
      <c r="L467" t="str">
        <f>IF(AND(C467&gt; Sheet1!B473,K467&lt;3), "Misaligned","Aligned")</f>
        <v>Aligned</v>
      </c>
    </row>
    <row r="468" spans="1:12" x14ac:dyDescent="0.3">
      <c r="A468" t="s">
        <v>31</v>
      </c>
      <c r="B468">
        <v>25</v>
      </c>
      <c r="C468">
        <v>70000</v>
      </c>
      <c r="D468" t="s">
        <v>19</v>
      </c>
      <c r="E468" t="s">
        <v>20</v>
      </c>
      <c r="F468" t="s">
        <v>21</v>
      </c>
      <c r="G468">
        <v>2019</v>
      </c>
      <c r="H468" s="1">
        <v>43549</v>
      </c>
      <c r="I468" t="s">
        <v>34</v>
      </c>
      <c r="J468" t="s">
        <v>27</v>
      </c>
      <c r="K468">
        <v>3</v>
      </c>
      <c r="L468" t="str">
        <f>IF(AND(C468&gt; Sheet1!B474,K468&lt;3), "Misaligned","Aligned")</f>
        <v>Aligned</v>
      </c>
    </row>
    <row r="469" spans="1:12" x14ac:dyDescent="0.3">
      <c r="A469" t="s">
        <v>42</v>
      </c>
      <c r="B469">
        <v>35</v>
      </c>
      <c r="C469">
        <v>70000</v>
      </c>
      <c r="D469" t="s">
        <v>12</v>
      </c>
      <c r="E469" t="s">
        <v>29</v>
      </c>
      <c r="F469" t="s">
        <v>36</v>
      </c>
      <c r="G469">
        <v>2018</v>
      </c>
      <c r="H469" s="1">
        <v>43195</v>
      </c>
      <c r="I469" t="s">
        <v>15</v>
      </c>
      <c r="J469" t="s">
        <v>30</v>
      </c>
      <c r="K469">
        <v>5</v>
      </c>
      <c r="L469" t="str">
        <f>IF(AND(C469&gt; Sheet1!B475,K469&lt;3), "Misaligned","Aligned")</f>
        <v>Aligned</v>
      </c>
    </row>
    <row r="470" spans="1:12" x14ac:dyDescent="0.3">
      <c r="A470" t="s">
        <v>35</v>
      </c>
      <c r="B470" t="s">
        <v>18</v>
      </c>
      <c r="C470">
        <v>55000</v>
      </c>
      <c r="D470" t="s">
        <v>12</v>
      </c>
      <c r="E470" t="s">
        <v>13</v>
      </c>
      <c r="F470" t="s">
        <v>14</v>
      </c>
      <c r="G470">
        <v>2019</v>
      </c>
      <c r="H470" s="1">
        <v>43800</v>
      </c>
      <c r="I470" t="s">
        <v>37</v>
      </c>
      <c r="J470" t="s">
        <v>27</v>
      </c>
      <c r="K470">
        <v>3</v>
      </c>
      <c r="L470" t="str">
        <f>IF(AND(C470&gt; Sheet1!B476,K470&lt;3), "Misaligned","Aligned")</f>
        <v>Aligned</v>
      </c>
    </row>
    <row r="471" spans="1:12" x14ac:dyDescent="0.3">
      <c r="A471" t="s">
        <v>44</v>
      </c>
      <c r="B471">
        <v>30</v>
      </c>
      <c r="C471">
        <v>70000</v>
      </c>
      <c r="D471" t="s">
        <v>19</v>
      </c>
      <c r="E471" t="s">
        <v>13</v>
      </c>
      <c r="F471" t="s">
        <v>21</v>
      </c>
      <c r="G471">
        <v>2019</v>
      </c>
      <c r="H471" s="1">
        <v>43549</v>
      </c>
      <c r="I471" t="s">
        <v>34</v>
      </c>
      <c r="J471" t="s">
        <v>27</v>
      </c>
      <c r="K471">
        <v>3</v>
      </c>
      <c r="L471" t="str">
        <f>IF(AND(C471&gt; Sheet1!B477,K471&lt;3), "Misaligned","Aligned")</f>
        <v>Aligned</v>
      </c>
    </row>
    <row r="472" spans="1:12" x14ac:dyDescent="0.3">
      <c r="A472" t="s">
        <v>11</v>
      </c>
      <c r="B472">
        <v>25</v>
      </c>
      <c r="C472">
        <v>70000</v>
      </c>
      <c r="D472" t="s">
        <v>12</v>
      </c>
      <c r="E472" t="s">
        <v>25</v>
      </c>
      <c r="F472" t="s">
        <v>14</v>
      </c>
      <c r="G472">
        <v>2020</v>
      </c>
      <c r="H472" s="1">
        <v>43845</v>
      </c>
      <c r="I472" t="s">
        <v>26</v>
      </c>
      <c r="J472" t="s">
        <v>16</v>
      </c>
      <c r="K472">
        <v>2</v>
      </c>
      <c r="L472" t="str">
        <f>IF(AND(C472&gt; Sheet1!B478,K472&lt;3), "Misaligned","Aligned")</f>
        <v>Misaligned</v>
      </c>
    </row>
    <row r="473" spans="1:12" x14ac:dyDescent="0.3">
      <c r="A473" t="s">
        <v>17</v>
      </c>
      <c r="B473">
        <v>40</v>
      </c>
      <c r="C473">
        <v>65000</v>
      </c>
      <c r="D473" t="s">
        <v>32</v>
      </c>
      <c r="E473" t="s">
        <v>20</v>
      </c>
      <c r="F473" t="s">
        <v>39</v>
      </c>
      <c r="G473">
        <v>2020</v>
      </c>
      <c r="H473" s="1">
        <v>43881</v>
      </c>
      <c r="I473" t="s">
        <v>22</v>
      </c>
      <c r="J473" t="s">
        <v>30</v>
      </c>
      <c r="K473">
        <v>5</v>
      </c>
      <c r="L473" t="str">
        <f>IF(AND(C473&gt; Sheet1!B479,K473&lt;3), "Misaligned","Aligned")</f>
        <v>Aligned</v>
      </c>
    </row>
    <row r="474" spans="1:12" x14ac:dyDescent="0.3">
      <c r="A474" t="s">
        <v>31</v>
      </c>
      <c r="B474">
        <v>35</v>
      </c>
      <c r="C474">
        <v>50000</v>
      </c>
      <c r="D474" t="s">
        <v>32</v>
      </c>
      <c r="E474" t="s">
        <v>13</v>
      </c>
      <c r="F474" t="s">
        <v>21</v>
      </c>
      <c r="G474">
        <v>2020</v>
      </c>
      <c r="H474" s="1">
        <v>43881</v>
      </c>
      <c r="I474" t="s">
        <v>22</v>
      </c>
      <c r="J474" t="s">
        <v>30</v>
      </c>
      <c r="K474">
        <v>5</v>
      </c>
      <c r="L474" t="str">
        <f>IF(AND(C474&gt; Sheet1!B480,K474&lt;3), "Misaligned","Aligned")</f>
        <v>Aligned</v>
      </c>
    </row>
    <row r="475" spans="1:12" x14ac:dyDescent="0.3">
      <c r="A475" t="s">
        <v>28</v>
      </c>
      <c r="B475">
        <v>30</v>
      </c>
      <c r="C475">
        <v>60000</v>
      </c>
      <c r="D475" t="s">
        <v>19</v>
      </c>
      <c r="E475" t="s">
        <v>13</v>
      </c>
      <c r="F475" t="s">
        <v>21</v>
      </c>
      <c r="G475">
        <v>2020</v>
      </c>
      <c r="H475" s="1">
        <v>43845</v>
      </c>
      <c r="I475" t="s">
        <v>26</v>
      </c>
      <c r="J475" t="s">
        <v>27</v>
      </c>
      <c r="K475">
        <v>3</v>
      </c>
      <c r="L475" t="str">
        <f>IF(AND(C475&gt; Sheet1!B481,K475&lt;3), "Misaligned","Aligned")</f>
        <v>Aligned</v>
      </c>
    </row>
    <row r="476" spans="1:12" x14ac:dyDescent="0.3">
      <c r="A476" t="s">
        <v>42</v>
      </c>
      <c r="B476">
        <v>35</v>
      </c>
      <c r="C476">
        <v>50000</v>
      </c>
      <c r="D476" t="s">
        <v>19</v>
      </c>
      <c r="E476" t="s">
        <v>33</v>
      </c>
      <c r="F476" t="s">
        <v>40</v>
      </c>
      <c r="G476">
        <v>2020</v>
      </c>
      <c r="H476" s="1">
        <v>43881</v>
      </c>
      <c r="I476" t="s">
        <v>22</v>
      </c>
      <c r="J476" t="s">
        <v>16</v>
      </c>
      <c r="K476">
        <v>2</v>
      </c>
      <c r="L476" t="str">
        <f>IF(AND(C476&gt; Sheet1!B482,K476&lt;3), "Misaligned","Aligned")</f>
        <v>Misaligned</v>
      </c>
    </row>
    <row r="477" spans="1:12" x14ac:dyDescent="0.3">
      <c r="A477" t="s">
        <v>24</v>
      </c>
      <c r="B477">
        <v>30</v>
      </c>
      <c r="C477">
        <v>65000</v>
      </c>
      <c r="D477" t="s">
        <v>12</v>
      </c>
      <c r="E477" t="s">
        <v>33</v>
      </c>
      <c r="F477" t="s">
        <v>39</v>
      </c>
      <c r="G477">
        <v>2020</v>
      </c>
      <c r="H477" s="1">
        <v>43881</v>
      </c>
      <c r="I477" t="s">
        <v>22</v>
      </c>
      <c r="J477" t="s">
        <v>27</v>
      </c>
      <c r="K477">
        <v>3</v>
      </c>
      <c r="L477" t="str">
        <f>IF(AND(C477&gt; Sheet1!B483,K477&lt;3), "Misaligned","Aligned")</f>
        <v>Aligned</v>
      </c>
    </row>
    <row r="478" spans="1:12" x14ac:dyDescent="0.3">
      <c r="A478" t="s">
        <v>17</v>
      </c>
      <c r="B478">
        <v>30</v>
      </c>
      <c r="C478">
        <v>60000</v>
      </c>
      <c r="D478" t="s">
        <v>12</v>
      </c>
      <c r="E478" t="s">
        <v>13</v>
      </c>
      <c r="F478" t="s">
        <v>39</v>
      </c>
      <c r="G478">
        <v>2020</v>
      </c>
      <c r="H478" s="1">
        <v>43845</v>
      </c>
      <c r="I478" t="s">
        <v>26</v>
      </c>
      <c r="J478" t="s">
        <v>27</v>
      </c>
      <c r="K478">
        <v>3</v>
      </c>
      <c r="L478" t="str">
        <f>IF(AND(C478&gt; Sheet1!B484,K478&lt;3), "Misaligned","Aligned")</f>
        <v>Aligned</v>
      </c>
    </row>
    <row r="479" spans="1:12" x14ac:dyDescent="0.3">
      <c r="A479" t="s">
        <v>44</v>
      </c>
      <c r="B479">
        <v>50</v>
      </c>
      <c r="C479">
        <v>70000</v>
      </c>
      <c r="D479" t="s">
        <v>12</v>
      </c>
      <c r="E479" t="s">
        <v>25</v>
      </c>
      <c r="F479" t="s">
        <v>21</v>
      </c>
      <c r="G479">
        <v>2020</v>
      </c>
      <c r="H479" s="1">
        <v>43845</v>
      </c>
      <c r="I479" t="s">
        <v>26</v>
      </c>
      <c r="J479" t="s">
        <v>38</v>
      </c>
      <c r="K479">
        <v>4</v>
      </c>
      <c r="L479" t="str">
        <f>IF(AND(C479&gt; Sheet1!B485,K479&lt;3), "Misaligned","Aligned")</f>
        <v>Aligned</v>
      </c>
    </row>
    <row r="480" spans="1:12" x14ac:dyDescent="0.3">
      <c r="A480" t="s">
        <v>28</v>
      </c>
      <c r="B480">
        <v>25</v>
      </c>
      <c r="C480">
        <v>65000</v>
      </c>
      <c r="D480" t="s">
        <v>12</v>
      </c>
      <c r="E480" t="s">
        <v>13</v>
      </c>
      <c r="F480" t="s">
        <v>39</v>
      </c>
      <c r="G480">
        <v>2019</v>
      </c>
      <c r="H480" s="1">
        <v>43549</v>
      </c>
      <c r="I480" t="s">
        <v>34</v>
      </c>
      <c r="J480" t="s">
        <v>38</v>
      </c>
      <c r="K480">
        <v>4</v>
      </c>
      <c r="L480" t="str">
        <f>IF(AND(C480&gt; Sheet1!B486,K480&lt;3), "Misaligned","Aligned")</f>
        <v>Aligned</v>
      </c>
    </row>
    <row r="481" spans="1:12" x14ac:dyDescent="0.3">
      <c r="A481" t="s">
        <v>44</v>
      </c>
      <c r="B481">
        <v>35</v>
      </c>
      <c r="C481">
        <v>70000</v>
      </c>
      <c r="D481" t="s">
        <v>32</v>
      </c>
      <c r="E481" t="s">
        <v>29</v>
      </c>
      <c r="F481" t="s">
        <v>21</v>
      </c>
      <c r="G481">
        <v>2019</v>
      </c>
      <c r="H481" s="1">
        <v>43549</v>
      </c>
      <c r="I481" t="s">
        <v>34</v>
      </c>
      <c r="J481" t="s">
        <v>16</v>
      </c>
      <c r="K481">
        <v>2</v>
      </c>
      <c r="L481" t="str">
        <f>IF(AND(C481&gt; Sheet1!B487,K481&lt;3), "Misaligned","Aligned")</f>
        <v>Misaligned</v>
      </c>
    </row>
    <row r="482" spans="1:12" x14ac:dyDescent="0.3">
      <c r="A482" t="s">
        <v>17</v>
      </c>
      <c r="B482">
        <v>35</v>
      </c>
      <c r="C482">
        <v>55000</v>
      </c>
      <c r="D482" t="s">
        <v>32</v>
      </c>
      <c r="E482" t="s">
        <v>20</v>
      </c>
      <c r="F482" t="s">
        <v>40</v>
      </c>
      <c r="G482">
        <v>2020</v>
      </c>
      <c r="H482" s="1">
        <v>43845</v>
      </c>
      <c r="I482" t="s">
        <v>26</v>
      </c>
      <c r="J482" t="s">
        <v>23</v>
      </c>
      <c r="K482">
        <v>1</v>
      </c>
      <c r="L482" t="str">
        <f>IF(AND(C482&gt; Sheet1!B488,K482&lt;3), "Misaligned","Aligned")</f>
        <v>Misaligned</v>
      </c>
    </row>
    <row r="483" spans="1:12" x14ac:dyDescent="0.3">
      <c r="A483" t="s">
        <v>31</v>
      </c>
      <c r="B483">
        <v>50</v>
      </c>
      <c r="C483" t="s">
        <v>18</v>
      </c>
      <c r="D483" t="s">
        <v>19</v>
      </c>
      <c r="E483" t="s">
        <v>25</v>
      </c>
      <c r="F483" t="s">
        <v>21</v>
      </c>
      <c r="G483">
        <v>2018</v>
      </c>
      <c r="H483" s="1">
        <v>43195</v>
      </c>
      <c r="I483" t="s">
        <v>15</v>
      </c>
      <c r="J483" t="s">
        <v>38</v>
      </c>
      <c r="K483">
        <v>4</v>
      </c>
      <c r="L483" t="str">
        <f>IF(AND(C483&gt; Sheet1!B489,K483&lt;3), "Misaligned","Aligned")</f>
        <v>Aligned</v>
      </c>
    </row>
    <row r="484" spans="1:12" x14ac:dyDescent="0.3">
      <c r="A484" t="s">
        <v>28</v>
      </c>
      <c r="B484">
        <v>40</v>
      </c>
      <c r="C484">
        <v>65000</v>
      </c>
      <c r="D484" t="s">
        <v>12</v>
      </c>
      <c r="E484" t="s">
        <v>29</v>
      </c>
      <c r="F484" t="s">
        <v>39</v>
      </c>
      <c r="G484">
        <v>2020</v>
      </c>
      <c r="H484" s="1">
        <v>43881</v>
      </c>
      <c r="I484" t="s">
        <v>22</v>
      </c>
      <c r="J484" t="s">
        <v>23</v>
      </c>
      <c r="K484">
        <v>1</v>
      </c>
      <c r="L484" t="str">
        <f>IF(AND(C484&gt; Sheet1!B490,K484&lt;3), "Misaligned","Aligned")</f>
        <v>Misaligned</v>
      </c>
    </row>
    <row r="485" spans="1:12" x14ac:dyDescent="0.3">
      <c r="A485" t="s">
        <v>44</v>
      </c>
      <c r="B485">
        <v>40</v>
      </c>
      <c r="C485">
        <v>55000</v>
      </c>
      <c r="D485" t="s">
        <v>12</v>
      </c>
      <c r="E485" t="s">
        <v>25</v>
      </c>
      <c r="F485" t="s">
        <v>39</v>
      </c>
      <c r="G485">
        <v>2019</v>
      </c>
      <c r="H485" s="1">
        <v>43549</v>
      </c>
      <c r="I485" t="s">
        <v>34</v>
      </c>
      <c r="J485" t="s">
        <v>30</v>
      </c>
      <c r="K485">
        <v>5</v>
      </c>
      <c r="L485" t="str">
        <f>IF(AND(C485&gt; Sheet1!B491,K485&lt;3), "Misaligned","Aligned")</f>
        <v>Aligned</v>
      </c>
    </row>
    <row r="486" spans="1:12" x14ac:dyDescent="0.3">
      <c r="A486" t="s">
        <v>24</v>
      </c>
      <c r="B486">
        <v>25</v>
      </c>
      <c r="C486">
        <v>65000</v>
      </c>
      <c r="D486" t="s">
        <v>19</v>
      </c>
      <c r="E486" t="s">
        <v>29</v>
      </c>
      <c r="F486" t="s">
        <v>21</v>
      </c>
      <c r="G486">
        <v>2020</v>
      </c>
      <c r="H486" s="1">
        <v>43881</v>
      </c>
      <c r="I486" t="s">
        <v>22</v>
      </c>
      <c r="J486" t="s">
        <v>38</v>
      </c>
      <c r="K486">
        <v>4</v>
      </c>
      <c r="L486" t="str">
        <f>IF(AND(C486&gt; Sheet1!B492,K486&lt;3), "Misaligned","Aligned")</f>
        <v>Aligned</v>
      </c>
    </row>
    <row r="487" spans="1:12" x14ac:dyDescent="0.3">
      <c r="A487" t="s">
        <v>35</v>
      </c>
      <c r="B487">
        <v>25</v>
      </c>
      <c r="C487">
        <v>65000</v>
      </c>
      <c r="D487" t="s">
        <v>12</v>
      </c>
      <c r="E487" t="s">
        <v>20</v>
      </c>
      <c r="F487" t="s">
        <v>21</v>
      </c>
      <c r="G487">
        <v>2019</v>
      </c>
      <c r="H487" s="1">
        <v>43800</v>
      </c>
      <c r="I487" t="s">
        <v>37</v>
      </c>
      <c r="J487" t="s">
        <v>38</v>
      </c>
      <c r="K487">
        <v>4</v>
      </c>
      <c r="L487" t="str">
        <f>IF(AND(C487&gt; Sheet1!B493,K487&lt;3), "Misaligned","Aligned")</f>
        <v>Aligned</v>
      </c>
    </row>
    <row r="488" spans="1:12" x14ac:dyDescent="0.3">
      <c r="A488" t="s">
        <v>43</v>
      </c>
      <c r="B488" t="s">
        <v>18</v>
      </c>
      <c r="C488">
        <v>55000</v>
      </c>
      <c r="D488" t="s">
        <v>12</v>
      </c>
      <c r="E488" t="s">
        <v>20</v>
      </c>
      <c r="F488" t="s">
        <v>21</v>
      </c>
      <c r="G488">
        <v>2020</v>
      </c>
      <c r="H488" s="1">
        <v>43845</v>
      </c>
      <c r="I488" t="s">
        <v>26</v>
      </c>
      <c r="J488" t="s">
        <v>16</v>
      </c>
      <c r="K488">
        <v>2</v>
      </c>
      <c r="L488" t="str">
        <f>IF(AND(C488&gt; Sheet1!B494,K488&lt;3), "Misaligned","Aligned")</f>
        <v>Misaligned</v>
      </c>
    </row>
    <row r="489" spans="1:12" x14ac:dyDescent="0.3">
      <c r="A489" t="s">
        <v>35</v>
      </c>
      <c r="B489">
        <v>50</v>
      </c>
      <c r="C489">
        <v>60000</v>
      </c>
      <c r="D489" t="s">
        <v>12</v>
      </c>
      <c r="E489" t="s">
        <v>33</v>
      </c>
      <c r="F489" t="s">
        <v>36</v>
      </c>
      <c r="G489">
        <v>2018</v>
      </c>
      <c r="H489" s="1">
        <v>43195</v>
      </c>
      <c r="I489" t="s">
        <v>15</v>
      </c>
      <c r="J489" t="s">
        <v>23</v>
      </c>
      <c r="K489">
        <v>1</v>
      </c>
      <c r="L489" t="str">
        <f>IF(AND(C489&gt; Sheet1!B495,K489&lt;3), "Misaligned","Aligned")</f>
        <v>Misaligned</v>
      </c>
    </row>
    <row r="490" spans="1:12" x14ac:dyDescent="0.3">
      <c r="A490" t="s">
        <v>17</v>
      </c>
      <c r="B490">
        <v>40</v>
      </c>
      <c r="C490">
        <v>50000</v>
      </c>
      <c r="D490" t="s">
        <v>12</v>
      </c>
      <c r="E490" t="s">
        <v>29</v>
      </c>
      <c r="F490" t="s">
        <v>39</v>
      </c>
      <c r="G490">
        <v>2019</v>
      </c>
      <c r="H490" s="1">
        <v>43800</v>
      </c>
      <c r="I490" t="s">
        <v>37</v>
      </c>
      <c r="J490" t="s">
        <v>38</v>
      </c>
      <c r="K490">
        <v>4</v>
      </c>
      <c r="L490" t="str">
        <f>IF(AND(C490&gt; Sheet1!B496,K490&lt;3), "Misaligned","Aligned")</f>
        <v>Aligned</v>
      </c>
    </row>
    <row r="491" spans="1:12" x14ac:dyDescent="0.3">
      <c r="A491" t="s">
        <v>42</v>
      </c>
      <c r="B491">
        <v>30</v>
      </c>
      <c r="C491">
        <v>70000</v>
      </c>
      <c r="D491" t="s">
        <v>12</v>
      </c>
      <c r="E491" t="s">
        <v>33</v>
      </c>
      <c r="F491" t="s">
        <v>39</v>
      </c>
      <c r="G491">
        <v>2019</v>
      </c>
      <c r="H491" s="1">
        <v>43800</v>
      </c>
      <c r="I491" t="s">
        <v>37</v>
      </c>
      <c r="J491" t="s">
        <v>38</v>
      </c>
      <c r="K491">
        <v>4</v>
      </c>
      <c r="L491" t="str">
        <f>IF(AND(C491&gt; Sheet1!B497,K491&lt;3), "Misaligned","Aligned")</f>
        <v>Aligned</v>
      </c>
    </row>
    <row r="492" spans="1:12" x14ac:dyDescent="0.3">
      <c r="A492" t="s">
        <v>43</v>
      </c>
      <c r="B492">
        <v>35</v>
      </c>
      <c r="C492">
        <v>65000</v>
      </c>
      <c r="D492" t="s">
        <v>19</v>
      </c>
      <c r="E492" t="s">
        <v>29</v>
      </c>
      <c r="F492" t="s">
        <v>36</v>
      </c>
      <c r="G492">
        <v>2019</v>
      </c>
      <c r="H492" s="1">
        <v>43800</v>
      </c>
      <c r="I492" t="s">
        <v>37</v>
      </c>
      <c r="J492" t="s">
        <v>16</v>
      </c>
      <c r="K492">
        <v>2</v>
      </c>
      <c r="L492" t="str">
        <f>IF(AND(C492&gt; Sheet1!B498,K492&lt;3), "Misaligned","Aligned")</f>
        <v>Misaligned</v>
      </c>
    </row>
    <row r="493" spans="1:12" x14ac:dyDescent="0.3">
      <c r="A493" t="s">
        <v>11</v>
      </c>
      <c r="B493">
        <v>25</v>
      </c>
      <c r="C493">
        <v>70000</v>
      </c>
      <c r="D493" t="s">
        <v>12</v>
      </c>
      <c r="E493" t="s">
        <v>33</v>
      </c>
      <c r="F493" t="s">
        <v>21</v>
      </c>
      <c r="G493">
        <v>2020</v>
      </c>
      <c r="H493" s="1">
        <v>43845</v>
      </c>
      <c r="I493" t="s">
        <v>26</v>
      </c>
      <c r="J493" t="s">
        <v>16</v>
      </c>
      <c r="K493">
        <v>2</v>
      </c>
      <c r="L493" t="str">
        <f>IF(AND(C493&gt; Sheet1!B499,K493&lt;3), "Misaligned","Aligned")</f>
        <v>Misaligned</v>
      </c>
    </row>
    <row r="494" spans="1:12" x14ac:dyDescent="0.3">
      <c r="A494" t="s">
        <v>24</v>
      </c>
      <c r="B494">
        <v>35</v>
      </c>
      <c r="C494" t="s">
        <v>18</v>
      </c>
      <c r="D494" t="s">
        <v>19</v>
      </c>
      <c r="E494" t="s">
        <v>20</v>
      </c>
      <c r="F494" t="s">
        <v>40</v>
      </c>
      <c r="G494">
        <v>2019</v>
      </c>
      <c r="H494" s="1">
        <v>43549</v>
      </c>
      <c r="I494" t="s">
        <v>34</v>
      </c>
      <c r="J494" t="s">
        <v>23</v>
      </c>
      <c r="K494">
        <v>1</v>
      </c>
      <c r="L494" t="str">
        <f>IF(AND(C494&gt; Sheet1!B500,K494&lt;3), "Misaligned","Aligned")</f>
        <v>Misaligned</v>
      </c>
    </row>
    <row r="495" spans="1:12" x14ac:dyDescent="0.3">
      <c r="A495" t="s">
        <v>11</v>
      </c>
      <c r="B495">
        <v>35</v>
      </c>
      <c r="C495">
        <v>55000</v>
      </c>
      <c r="D495" t="s">
        <v>12</v>
      </c>
      <c r="E495" t="s">
        <v>25</v>
      </c>
      <c r="F495" t="s">
        <v>21</v>
      </c>
      <c r="G495">
        <v>2020</v>
      </c>
      <c r="H495" s="1">
        <v>43845</v>
      </c>
      <c r="I495" t="s">
        <v>26</v>
      </c>
      <c r="J495" t="s">
        <v>30</v>
      </c>
      <c r="K495">
        <v>5</v>
      </c>
      <c r="L495" t="str">
        <f>IF(AND(C495&gt; Sheet1!B501,K495&lt;3), "Misaligned","Aligned")</f>
        <v>Aligned</v>
      </c>
    </row>
    <row r="496" spans="1:12" x14ac:dyDescent="0.3">
      <c r="A496" t="s">
        <v>28</v>
      </c>
      <c r="B496" t="s">
        <v>18</v>
      </c>
      <c r="C496">
        <v>70000</v>
      </c>
      <c r="D496" t="s">
        <v>32</v>
      </c>
      <c r="E496" t="s">
        <v>33</v>
      </c>
      <c r="F496" t="s">
        <v>21</v>
      </c>
      <c r="G496">
        <v>2019</v>
      </c>
      <c r="H496" s="1">
        <v>43549</v>
      </c>
      <c r="I496" t="s">
        <v>34</v>
      </c>
      <c r="J496" t="s">
        <v>30</v>
      </c>
      <c r="K496">
        <v>5</v>
      </c>
      <c r="L496" t="str">
        <f>IF(AND(C496&gt; Sheet1!B502,K496&lt;3), "Misaligned","Aligned")</f>
        <v>Aligned</v>
      </c>
    </row>
    <row r="497" spans="1:12" x14ac:dyDescent="0.3">
      <c r="A497" t="s">
        <v>43</v>
      </c>
      <c r="B497">
        <v>40</v>
      </c>
      <c r="C497">
        <v>55000</v>
      </c>
      <c r="D497" t="s">
        <v>32</v>
      </c>
      <c r="E497" t="s">
        <v>29</v>
      </c>
      <c r="F497" t="s">
        <v>36</v>
      </c>
      <c r="G497">
        <v>2019</v>
      </c>
      <c r="H497" s="1">
        <v>43800</v>
      </c>
      <c r="I497" t="s">
        <v>37</v>
      </c>
      <c r="J497" t="s">
        <v>27</v>
      </c>
      <c r="K497">
        <v>3</v>
      </c>
      <c r="L497" t="str">
        <f>IF(AND(C497&gt; Sheet1!B503,K497&lt;3), "Misaligned","Aligned")</f>
        <v>Aligned</v>
      </c>
    </row>
    <row r="498" spans="1:12" x14ac:dyDescent="0.3">
      <c r="A498" t="s">
        <v>11</v>
      </c>
      <c r="B498">
        <v>25</v>
      </c>
      <c r="C498">
        <v>70000</v>
      </c>
      <c r="D498" t="s">
        <v>32</v>
      </c>
      <c r="E498" t="s">
        <v>29</v>
      </c>
      <c r="F498" t="s">
        <v>39</v>
      </c>
      <c r="G498">
        <v>2019</v>
      </c>
      <c r="H498" s="1">
        <v>43800</v>
      </c>
      <c r="I498" t="s">
        <v>37</v>
      </c>
      <c r="J498" t="s">
        <v>38</v>
      </c>
      <c r="K498">
        <v>4</v>
      </c>
      <c r="L498" t="str">
        <f>IF(AND(C498&gt; Sheet1!B504,K498&lt;3), "Misaligned","Aligned")</f>
        <v>Aligned</v>
      </c>
    </row>
    <row r="499" spans="1:12" x14ac:dyDescent="0.3">
      <c r="A499" t="s">
        <v>11</v>
      </c>
      <c r="B499">
        <v>35</v>
      </c>
      <c r="C499">
        <v>50000</v>
      </c>
      <c r="D499" t="s">
        <v>32</v>
      </c>
      <c r="E499" t="s">
        <v>20</v>
      </c>
      <c r="F499" t="s">
        <v>21</v>
      </c>
      <c r="G499">
        <v>2018</v>
      </c>
      <c r="H499" s="1">
        <v>43195</v>
      </c>
      <c r="I499" t="s">
        <v>15</v>
      </c>
      <c r="J499" t="s">
        <v>23</v>
      </c>
      <c r="K499">
        <v>1</v>
      </c>
      <c r="L499" t="str">
        <f>IF(AND(C499&gt; Sheet1!B505,K499&lt;3), "Misaligned","Aligned")</f>
        <v>Misaligned</v>
      </c>
    </row>
    <row r="500" spans="1:12" x14ac:dyDescent="0.3">
      <c r="A500" t="s">
        <v>44</v>
      </c>
      <c r="B500">
        <v>25</v>
      </c>
      <c r="C500">
        <v>50000</v>
      </c>
      <c r="D500" t="s">
        <v>19</v>
      </c>
      <c r="E500" t="s">
        <v>29</v>
      </c>
      <c r="F500" t="s">
        <v>39</v>
      </c>
      <c r="G500">
        <v>2019</v>
      </c>
      <c r="H500" s="1">
        <v>43549</v>
      </c>
      <c r="I500" t="s">
        <v>34</v>
      </c>
      <c r="J500" t="s">
        <v>38</v>
      </c>
      <c r="K500">
        <v>4</v>
      </c>
      <c r="L500" t="str">
        <f>IF(AND(C500&gt; Sheet1!B506,K500&lt;3), "Misaligned","Aligned")</f>
        <v>Aligned</v>
      </c>
    </row>
    <row r="501" spans="1:12" x14ac:dyDescent="0.3">
      <c r="A501" t="s">
        <v>35</v>
      </c>
      <c r="B501">
        <v>30</v>
      </c>
      <c r="C501">
        <v>50000</v>
      </c>
      <c r="D501" t="s">
        <v>19</v>
      </c>
      <c r="E501" t="s">
        <v>13</v>
      </c>
      <c r="F501" t="s">
        <v>14</v>
      </c>
      <c r="G501">
        <v>2019</v>
      </c>
      <c r="H501" s="1">
        <v>43800</v>
      </c>
      <c r="I501" t="s">
        <v>37</v>
      </c>
      <c r="J501" t="s">
        <v>23</v>
      </c>
      <c r="K501">
        <v>1</v>
      </c>
      <c r="L501" t="str">
        <f>IF(AND(C501&gt; Sheet1!B507,K501&lt;3), "Misaligned","Aligned")</f>
        <v>Misaligned</v>
      </c>
    </row>
    <row r="502" spans="1:12" x14ac:dyDescent="0.3">
      <c r="A502" t="s">
        <v>44</v>
      </c>
      <c r="B502" t="s">
        <v>18</v>
      </c>
      <c r="C502">
        <v>50000</v>
      </c>
      <c r="D502" t="s">
        <v>12</v>
      </c>
      <c r="E502" t="s">
        <v>25</v>
      </c>
      <c r="F502" t="s">
        <v>39</v>
      </c>
      <c r="G502">
        <v>2020</v>
      </c>
      <c r="H502" s="1">
        <v>43881</v>
      </c>
      <c r="I502" t="s">
        <v>22</v>
      </c>
      <c r="J502" t="s">
        <v>23</v>
      </c>
      <c r="K502">
        <v>1</v>
      </c>
      <c r="L502" t="str">
        <f>IF(AND(C502&gt; Sheet1!B508,K502&lt;3), "Misaligned","Aligned")</f>
        <v>Misaligned</v>
      </c>
    </row>
    <row r="503" spans="1:12" x14ac:dyDescent="0.3">
      <c r="A503" t="s">
        <v>43</v>
      </c>
      <c r="B503">
        <v>30</v>
      </c>
      <c r="C503">
        <v>50000</v>
      </c>
      <c r="D503" t="s">
        <v>32</v>
      </c>
      <c r="E503" t="s">
        <v>33</v>
      </c>
      <c r="F503" t="s">
        <v>40</v>
      </c>
      <c r="G503">
        <v>2018</v>
      </c>
      <c r="H503" s="1">
        <v>43195</v>
      </c>
      <c r="I503" t="s">
        <v>15</v>
      </c>
      <c r="J503" t="s">
        <v>23</v>
      </c>
      <c r="K503">
        <v>1</v>
      </c>
      <c r="L503" t="str">
        <f>IF(AND(C503&gt; Sheet1!B509,K503&lt;3), "Misaligned","Aligned")</f>
        <v>Misaligned</v>
      </c>
    </row>
    <row r="504" spans="1:12" x14ac:dyDescent="0.3">
      <c r="A504" t="s">
        <v>43</v>
      </c>
      <c r="B504">
        <v>25</v>
      </c>
      <c r="C504">
        <v>50000</v>
      </c>
      <c r="D504" t="s">
        <v>19</v>
      </c>
      <c r="E504" t="s">
        <v>25</v>
      </c>
      <c r="F504" t="s">
        <v>40</v>
      </c>
      <c r="G504">
        <v>2020</v>
      </c>
      <c r="H504" s="1">
        <v>43845</v>
      </c>
      <c r="I504" t="s">
        <v>26</v>
      </c>
      <c r="J504" t="s">
        <v>38</v>
      </c>
      <c r="K504">
        <v>4</v>
      </c>
      <c r="L504" t="str">
        <f>IF(AND(C504&gt; Sheet1!B510,K504&lt;3), "Misaligned","Aligned")</f>
        <v>Aligned</v>
      </c>
    </row>
    <row r="505" spans="1:12" x14ac:dyDescent="0.3">
      <c r="A505" t="s">
        <v>17</v>
      </c>
      <c r="B505">
        <v>25</v>
      </c>
      <c r="C505">
        <v>55000</v>
      </c>
      <c r="D505" t="s">
        <v>12</v>
      </c>
      <c r="E505" t="s">
        <v>20</v>
      </c>
      <c r="F505" t="s">
        <v>21</v>
      </c>
      <c r="G505">
        <v>2018</v>
      </c>
      <c r="H505" s="1">
        <v>43195</v>
      </c>
      <c r="I505" t="s">
        <v>15</v>
      </c>
      <c r="J505" t="s">
        <v>16</v>
      </c>
      <c r="K505">
        <v>2</v>
      </c>
      <c r="L505" t="str">
        <f>IF(AND(C505&gt; Sheet1!B511,K505&lt;3), "Misaligned","Aligned")</f>
        <v>Misaligned</v>
      </c>
    </row>
    <row r="506" spans="1:12" x14ac:dyDescent="0.3">
      <c r="A506" t="s">
        <v>44</v>
      </c>
      <c r="B506">
        <v>40</v>
      </c>
      <c r="C506">
        <v>65000</v>
      </c>
      <c r="D506" t="s">
        <v>12</v>
      </c>
      <c r="E506" t="s">
        <v>33</v>
      </c>
      <c r="F506" t="s">
        <v>39</v>
      </c>
      <c r="G506">
        <v>2020</v>
      </c>
      <c r="H506" s="1">
        <v>43881</v>
      </c>
      <c r="I506" t="s">
        <v>22</v>
      </c>
      <c r="J506" t="s">
        <v>38</v>
      </c>
      <c r="K506">
        <v>4</v>
      </c>
      <c r="L506" t="str">
        <f>IF(AND(C506&gt; Sheet1!B512,K506&lt;3), "Misaligned","Aligned")</f>
        <v>Aligned</v>
      </c>
    </row>
    <row r="507" spans="1:12" x14ac:dyDescent="0.3">
      <c r="A507" t="s">
        <v>41</v>
      </c>
      <c r="B507">
        <v>35</v>
      </c>
      <c r="C507">
        <v>70000</v>
      </c>
      <c r="D507" t="s">
        <v>19</v>
      </c>
      <c r="E507" t="s">
        <v>33</v>
      </c>
      <c r="F507" t="s">
        <v>21</v>
      </c>
      <c r="G507">
        <v>2019</v>
      </c>
      <c r="H507" s="1">
        <v>43549</v>
      </c>
      <c r="I507" t="s">
        <v>34</v>
      </c>
      <c r="J507" t="s">
        <v>23</v>
      </c>
      <c r="K507">
        <v>1</v>
      </c>
      <c r="L507" t="str">
        <f>IF(AND(C507&gt; Sheet1!B513,K507&lt;3), "Misaligned","Aligned")</f>
        <v>Misaligned</v>
      </c>
    </row>
    <row r="508" spans="1:12" x14ac:dyDescent="0.3">
      <c r="A508" t="s">
        <v>35</v>
      </c>
      <c r="B508">
        <v>35</v>
      </c>
      <c r="C508">
        <v>50000</v>
      </c>
      <c r="D508" t="s">
        <v>32</v>
      </c>
      <c r="E508" t="s">
        <v>13</v>
      </c>
      <c r="F508" t="s">
        <v>36</v>
      </c>
      <c r="G508">
        <v>2020</v>
      </c>
      <c r="H508" s="1">
        <v>43845</v>
      </c>
      <c r="I508" t="s">
        <v>26</v>
      </c>
      <c r="J508" t="s">
        <v>27</v>
      </c>
      <c r="K508">
        <v>3</v>
      </c>
      <c r="L508" t="str">
        <f>IF(AND(C508&gt; Sheet1!B514,K508&lt;3), "Misaligned","Aligned")</f>
        <v>Aligned</v>
      </c>
    </row>
    <row r="509" spans="1:12" x14ac:dyDescent="0.3">
      <c r="A509" t="s">
        <v>43</v>
      </c>
      <c r="B509">
        <v>30</v>
      </c>
      <c r="C509">
        <v>55000</v>
      </c>
      <c r="D509" t="s">
        <v>12</v>
      </c>
      <c r="E509" t="s">
        <v>20</v>
      </c>
      <c r="F509" t="s">
        <v>40</v>
      </c>
      <c r="G509">
        <v>2020</v>
      </c>
      <c r="H509" s="1">
        <v>43845</v>
      </c>
      <c r="I509" t="s">
        <v>26</v>
      </c>
      <c r="J509" t="s">
        <v>30</v>
      </c>
      <c r="K509">
        <v>5</v>
      </c>
      <c r="L509" t="str">
        <f>IF(AND(C509&gt; Sheet1!B515,K509&lt;3), "Misaligned","Aligned")</f>
        <v>Aligned</v>
      </c>
    </row>
    <row r="510" spans="1:12" x14ac:dyDescent="0.3">
      <c r="A510" t="s">
        <v>17</v>
      </c>
      <c r="B510" t="s">
        <v>18</v>
      </c>
      <c r="C510">
        <v>55000</v>
      </c>
      <c r="D510" t="s">
        <v>32</v>
      </c>
      <c r="E510" t="s">
        <v>29</v>
      </c>
      <c r="F510" t="s">
        <v>21</v>
      </c>
      <c r="G510">
        <v>2019</v>
      </c>
      <c r="H510" s="1">
        <v>43549</v>
      </c>
      <c r="I510" t="s">
        <v>34</v>
      </c>
      <c r="J510" t="s">
        <v>23</v>
      </c>
      <c r="K510">
        <v>1</v>
      </c>
      <c r="L510" t="str">
        <f>IF(AND(C510&gt; Sheet1!B516,K510&lt;3), "Misaligned","Aligned")</f>
        <v>Misaligned</v>
      </c>
    </row>
    <row r="511" spans="1:12" x14ac:dyDescent="0.3">
      <c r="A511" t="s">
        <v>44</v>
      </c>
      <c r="B511">
        <v>50</v>
      </c>
      <c r="C511">
        <v>55000</v>
      </c>
      <c r="D511" t="s">
        <v>32</v>
      </c>
      <c r="E511" t="s">
        <v>13</v>
      </c>
      <c r="F511" t="s">
        <v>36</v>
      </c>
      <c r="G511">
        <v>2018</v>
      </c>
      <c r="H511" s="1">
        <v>43195</v>
      </c>
      <c r="I511" t="s">
        <v>15</v>
      </c>
      <c r="J511" t="s">
        <v>27</v>
      </c>
      <c r="K511">
        <v>3</v>
      </c>
      <c r="L511" t="str">
        <f>IF(AND(C511&gt; Sheet1!B517,K511&lt;3), "Misaligned","Aligned")</f>
        <v>Aligned</v>
      </c>
    </row>
    <row r="512" spans="1:12" x14ac:dyDescent="0.3">
      <c r="A512" t="s">
        <v>35</v>
      </c>
      <c r="B512">
        <v>35</v>
      </c>
      <c r="C512">
        <v>65000</v>
      </c>
      <c r="D512" t="s">
        <v>32</v>
      </c>
      <c r="E512" t="s">
        <v>13</v>
      </c>
      <c r="F512" t="s">
        <v>21</v>
      </c>
      <c r="G512">
        <v>2019</v>
      </c>
      <c r="H512" s="1">
        <v>43800</v>
      </c>
      <c r="I512" t="s">
        <v>37</v>
      </c>
      <c r="J512" t="s">
        <v>16</v>
      </c>
      <c r="K512">
        <v>2</v>
      </c>
      <c r="L512" t="str">
        <f>IF(AND(C512&gt; Sheet1!B518,K512&lt;3), "Misaligned","Aligned")</f>
        <v>Misaligned</v>
      </c>
    </row>
    <row r="513" spans="1:12" x14ac:dyDescent="0.3">
      <c r="A513" t="s">
        <v>44</v>
      </c>
      <c r="B513">
        <v>40</v>
      </c>
      <c r="C513">
        <v>70000</v>
      </c>
      <c r="D513" t="s">
        <v>12</v>
      </c>
      <c r="E513" t="s">
        <v>25</v>
      </c>
      <c r="F513" t="s">
        <v>39</v>
      </c>
      <c r="G513">
        <v>2018</v>
      </c>
      <c r="H513" s="1">
        <v>43195</v>
      </c>
      <c r="I513" t="s">
        <v>15</v>
      </c>
      <c r="J513" t="s">
        <v>23</v>
      </c>
      <c r="K513">
        <v>1</v>
      </c>
      <c r="L513" t="str">
        <f>IF(AND(C513&gt; Sheet1!B519,K513&lt;3), "Misaligned","Aligned")</f>
        <v>Misaligned</v>
      </c>
    </row>
    <row r="514" spans="1:12" x14ac:dyDescent="0.3">
      <c r="A514" t="s">
        <v>11</v>
      </c>
      <c r="B514">
        <v>30</v>
      </c>
      <c r="C514">
        <v>65000</v>
      </c>
      <c r="D514" t="s">
        <v>32</v>
      </c>
      <c r="E514" t="s">
        <v>25</v>
      </c>
      <c r="F514" t="s">
        <v>39</v>
      </c>
      <c r="G514">
        <v>2020</v>
      </c>
      <c r="H514" s="1">
        <v>43881</v>
      </c>
      <c r="I514" t="s">
        <v>22</v>
      </c>
      <c r="J514" t="s">
        <v>27</v>
      </c>
      <c r="K514">
        <v>3</v>
      </c>
      <c r="L514" t="str">
        <f>IF(AND(C514&gt; Sheet1!B520,K514&lt;3), "Misaligned","Aligned")</f>
        <v>Aligned</v>
      </c>
    </row>
    <row r="515" spans="1:12" x14ac:dyDescent="0.3">
      <c r="A515" t="s">
        <v>17</v>
      </c>
      <c r="B515">
        <v>30</v>
      </c>
      <c r="C515">
        <v>60000</v>
      </c>
      <c r="D515" t="s">
        <v>12</v>
      </c>
      <c r="E515" t="s">
        <v>25</v>
      </c>
      <c r="F515" t="s">
        <v>39</v>
      </c>
      <c r="G515">
        <v>2019</v>
      </c>
      <c r="H515" s="1">
        <v>43800</v>
      </c>
      <c r="I515" t="s">
        <v>37</v>
      </c>
      <c r="J515" t="s">
        <v>23</v>
      </c>
      <c r="K515">
        <v>1</v>
      </c>
      <c r="L515" t="str">
        <f>IF(AND(C515&gt; Sheet1!B521,K515&lt;3), "Misaligned","Aligned")</f>
        <v>Misaligned</v>
      </c>
    </row>
    <row r="516" spans="1:12" x14ac:dyDescent="0.3">
      <c r="A516" t="s">
        <v>35</v>
      </c>
      <c r="B516">
        <v>50</v>
      </c>
      <c r="C516">
        <v>55000</v>
      </c>
      <c r="D516" t="s">
        <v>32</v>
      </c>
      <c r="E516" t="s">
        <v>13</v>
      </c>
      <c r="F516" t="s">
        <v>39</v>
      </c>
      <c r="G516">
        <v>2018</v>
      </c>
      <c r="H516" s="1">
        <v>43195</v>
      </c>
      <c r="I516" t="s">
        <v>15</v>
      </c>
      <c r="J516" t="s">
        <v>38</v>
      </c>
      <c r="K516">
        <v>4</v>
      </c>
      <c r="L516" t="str">
        <f>IF(AND(C516&gt; Sheet1!B522,K516&lt;3), "Misaligned","Aligned")</f>
        <v>Aligned</v>
      </c>
    </row>
    <row r="517" spans="1:12" x14ac:dyDescent="0.3">
      <c r="A517" t="s">
        <v>31</v>
      </c>
      <c r="B517">
        <v>40</v>
      </c>
      <c r="C517">
        <v>60000</v>
      </c>
      <c r="D517" t="s">
        <v>12</v>
      </c>
      <c r="E517" t="s">
        <v>29</v>
      </c>
      <c r="F517" t="s">
        <v>14</v>
      </c>
      <c r="G517">
        <v>2019</v>
      </c>
      <c r="H517" s="1">
        <v>43549</v>
      </c>
      <c r="I517" t="s">
        <v>34</v>
      </c>
      <c r="J517" t="s">
        <v>27</v>
      </c>
      <c r="K517">
        <v>3</v>
      </c>
      <c r="L517" t="str">
        <f>IF(AND(C517&gt; Sheet1!B523,K517&lt;3), "Misaligned","Aligned")</f>
        <v>Aligned</v>
      </c>
    </row>
    <row r="518" spans="1:12" x14ac:dyDescent="0.3">
      <c r="A518" t="s">
        <v>28</v>
      </c>
      <c r="B518" t="s">
        <v>18</v>
      </c>
      <c r="C518" t="s">
        <v>18</v>
      </c>
      <c r="D518" t="s">
        <v>32</v>
      </c>
      <c r="E518" t="s">
        <v>33</v>
      </c>
      <c r="F518" t="s">
        <v>36</v>
      </c>
      <c r="G518">
        <v>2020</v>
      </c>
      <c r="H518" s="1">
        <v>43881</v>
      </c>
      <c r="I518" t="s">
        <v>22</v>
      </c>
      <c r="J518" t="s">
        <v>38</v>
      </c>
      <c r="K518">
        <v>4</v>
      </c>
      <c r="L518" t="str">
        <f>IF(AND(C518&gt; Sheet1!B524,K518&lt;3), "Misaligned","Aligned")</f>
        <v>Aligned</v>
      </c>
    </row>
    <row r="519" spans="1:12" x14ac:dyDescent="0.3">
      <c r="A519" t="s">
        <v>28</v>
      </c>
      <c r="B519">
        <v>40</v>
      </c>
      <c r="C519">
        <v>50000</v>
      </c>
      <c r="D519" t="s">
        <v>19</v>
      </c>
      <c r="E519" t="s">
        <v>25</v>
      </c>
      <c r="F519" t="s">
        <v>36</v>
      </c>
      <c r="G519">
        <v>2020</v>
      </c>
      <c r="H519" s="1">
        <v>43881</v>
      </c>
      <c r="I519" t="s">
        <v>22</v>
      </c>
      <c r="J519" t="s">
        <v>38</v>
      </c>
      <c r="K519">
        <v>4</v>
      </c>
      <c r="L519" t="str">
        <f>IF(AND(C519&gt; Sheet1!B525,K519&lt;3), "Misaligned","Aligned")</f>
        <v>Aligned</v>
      </c>
    </row>
    <row r="520" spans="1:12" x14ac:dyDescent="0.3">
      <c r="A520" t="s">
        <v>35</v>
      </c>
      <c r="B520" t="s">
        <v>18</v>
      </c>
      <c r="C520">
        <v>50000</v>
      </c>
      <c r="D520" t="s">
        <v>32</v>
      </c>
      <c r="E520" t="s">
        <v>29</v>
      </c>
      <c r="F520" t="s">
        <v>39</v>
      </c>
      <c r="G520">
        <v>2020</v>
      </c>
      <c r="H520" s="1">
        <v>43881</v>
      </c>
      <c r="I520" t="s">
        <v>22</v>
      </c>
      <c r="J520" t="s">
        <v>27</v>
      </c>
      <c r="K520">
        <v>3</v>
      </c>
      <c r="L520" t="str">
        <f>IF(AND(C520&gt; Sheet1!B526,K520&lt;3), "Misaligned","Aligned")</f>
        <v>Aligned</v>
      </c>
    </row>
    <row r="521" spans="1:12" x14ac:dyDescent="0.3">
      <c r="A521" t="s">
        <v>44</v>
      </c>
      <c r="B521">
        <v>40</v>
      </c>
      <c r="C521">
        <v>65000</v>
      </c>
      <c r="D521" t="s">
        <v>32</v>
      </c>
      <c r="E521" t="s">
        <v>20</v>
      </c>
      <c r="F521" t="s">
        <v>14</v>
      </c>
      <c r="G521">
        <v>2019</v>
      </c>
      <c r="H521" s="1">
        <v>43800</v>
      </c>
      <c r="I521" t="s">
        <v>37</v>
      </c>
      <c r="J521" t="s">
        <v>30</v>
      </c>
      <c r="K521">
        <v>5</v>
      </c>
      <c r="L521" t="str">
        <f>IF(AND(C521&gt; Sheet1!B527,K521&lt;3), "Misaligned","Aligned")</f>
        <v>Aligned</v>
      </c>
    </row>
    <row r="522" spans="1:12" x14ac:dyDescent="0.3">
      <c r="A522" t="s">
        <v>17</v>
      </c>
      <c r="B522">
        <v>40</v>
      </c>
      <c r="C522">
        <v>70000</v>
      </c>
      <c r="D522" t="s">
        <v>12</v>
      </c>
      <c r="E522" t="s">
        <v>25</v>
      </c>
      <c r="F522" t="s">
        <v>39</v>
      </c>
      <c r="G522">
        <v>2020</v>
      </c>
      <c r="H522" s="1">
        <v>43845</v>
      </c>
      <c r="I522" t="s">
        <v>26</v>
      </c>
      <c r="J522" t="s">
        <v>27</v>
      </c>
      <c r="K522">
        <v>3</v>
      </c>
      <c r="L522" t="str">
        <f>IF(AND(C522&gt; Sheet1!B528,K522&lt;3), "Misaligned","Aligned")</f>
        <v>Aligned</v>
      </c>
    </row>
    <row r="523" spans="1:12" x14ac:dyDescent="0.3">
      <c r="A523" t="s">
        <v>28</v>
      </c>
      <c r="B523">
        <v>25</v>
      </c>
      <c r="C523">
        <v>60000</v>
      </c>
      <c r="D523" t="s">
        <v>12</v>
      </c>
      <c r="E523" t="s">
        <v>33</v>
      </c>
      <c r="F523" t="s">
        <v>14</v>
      </c>
      <c r="G523">
        <v>2019</v>
      </c>
      <c r="H523" s="1">
        <v>43800</v>
      </c>
      <c r="I523" t="s">
        <v>37</v>
      </c>
      <c r="J523" t="s">
        <v>30</v>
      </c>
      <c r="K523">
        <v>5</v>
      </c>
      <c r="L523" t="str">
        <f>IF(AND(C523&gt; Sheet1!B529,K523&lt;3), "Misaligned","Aligned")</f>
        <v>Aligned</v>
      </c>
    </row>
    <row r="524" spans="1:12" x14ac:dyDescent="0.3">
      <c r="A524" t="s">
        <v>17</v>
      </c>
      <c r="B524">
        <v>30</v>
      </c>
      <c r="C524">
        <v>70000</v>
      </c>
      <c r="D524" t="s">
        <v>32</v>
      </c>
      <c r="E524" t="s">
        <v>20</v>
      </c>
      <c r="F524" t="s">
        <v>39</v>
      </c>
      <c r="G524">
        <v>2018</v>
      </c>
      <c r="H524" s="1">
        <v>43195</v>
      </c>
      <c r="I524" t="s">
        <v>15</v>
      </c>
      <c r="J524" t="s">
        <v>23</v>
      </c>
      <c r="K524">
        <v>1</v>
      </c>
      <c r="L524" t="str">
        <f>IF(AND(C524&gt; Sheet1!B530,K524&lt;3), "Misaligned","Aligned")</f>
        <v>Misaligned</v>
      </c>
    </row>
    <row r="525" spans="1:12" x14ac:dyDescent="0.3">
      <c r="A525" t="s">
        <v>28</v>
      </c>
      <c r="B525">
        <v>40</v>
      </c>
      <c r="C525">
        <v>65000</v>
      </c>
      <c r="D525" t="s">
        <v>19</v>
      </c>
      <c r="E525" t="s">
        <v>20</v>
      </c>
      <c r="F525" t="s">
        <v>40</v>
      </c>
      <c r="G525">
        <v>2020</v>
      </c>
      <c r="H525" s="1">
        <v>43845</v>
      </c>
      <c r="I525" t="s">
        <v>26</v>
      </c>
      <c r="J525" t="s">
        <v>23</v>
      </c>
      <c r="K525">
        <v>1</v>
      </c>
      <c r="L525" t="str">
        <f>IF(AND(C525&gt; Sheet1!B531,K525&lt;3), "Misaligned","Aligned")</f>
        <v>Misaligned</v>
      </c>
    </row>
    <row r="526" spans="1:12" x14ac:dyDescent="0.3">
      <c r="A526" t="s">
        <v>11</v>
      </c>
      <c r="B526">
        <v>50</v>
      </c>
      <c r="C526">
        <v>50000</v>
      </c>
      <c r="D526" t="s">
        <v>19</v>
      </c>
      <c r="E526" t="s">
        <v>33</v>
      </c>
      <c r="F526" t="s">
        <v>40</v>
      </c>
      <c r="G526">
        <v>2018</v>
      </c>
      <c r="H526" s="1">
        <v>43195</v>
      </c>
      <c r="I526" t="s">
        <v>15</v>
      </c>
      <c r="J526" t="s">
        <v>27</v>
      </c>
      <c r="K526">
        <v>3</v>
      </c>
      <c r="L526" t="str">
        <f>IF(AND(C526&gt; Sheet1!B532,K526&lt;3), "Misaligned","Aligned")</f>
        <v>Aligned</v>
      </c>
    </row>
    <row r="527" spans="1:12" x14ac:dyDescent="0.3">
      <c r="A527" t="s">
        <v>44</v>
      </c>
      <c r="B527">
        <v>40</v>
      </c>
      <c r="C527">
        <v>70000</v>
      </c>
      <c r="D527" t="s">
        <v>12</v>
      </c>
      <c r="E527" t="s">
        <v>25</v>
      </c>
      <c r="F527" t="s">
        <v>21</v>
      </c>
      <c r="G527">
        <v>2020</v>
      </c>
      <c r="H527" s="1">
        <v>43845</v>
      </c>
      <c r="I527" t="s">
        <v>26</v>
      </c>
      <c r="J527" t="s">
        <v>23</v>
      </c>
      <c r="K527">
        <v>1</v>
      </c>
      <c r="L527" t="str">
        <f>IF(AND(C527&gt; Sheet1!B533,K527&lt;3), "Misaligned","Aligned")</f>
        <v>Misaligned</v>
      </c>
    </row>
    <row r="528" spans="1:12" x14ac:dyDescent="0.3">
      <c r="A528" t="s">
        <v>11</v>
      </c>
      <c r="B528">
        <v>35</v>
      </c>
      <c r="C528">
        <v>70000</v>
      </c>
      <c r="D528" t="s">
        <v>19</v>
      </c>
      <c r="E528" t="s">
        <v>13</v>
      </c>
      <c r="F528" t="s">
        <v>39</v>
      </c>
      <c r="G528">
        <v>2019</v>
      </c>
      <c r="H528" s="1">
        <v>43800</v>
      </c>
      <c r="I528" t="s">
        <v>37</v>
      </c>
      <c r="J528" t="s">
        <v>16</v>
      </c>
      <c r="K528">
        <v>2</v>
      </c>
      <c r="L528" t="str">
        <f>IF(AND(C528&gt; Sheet1!B534,K528&lt;3), "Misaligned","Aligned")</f>
        <v>Misaligned</v>
      </c>
    </row>
    <row r="529" spans="1:12" x14ac:dyDescent="0.3">
      <c r="A529" t="s">
        <v>28</v>
      </c>
      <c r="B529">
        <v>30</v>
      </c>
      <c r="C529">
        <v>50000</v>
      </c>
      <c r="D529" t="s">
        <v>32</v>
      </c>
      <c r="E529" t="s">
        <v>33</v>
      </c>
      <c r="F529" t="s">
        <v>36</v>
      </c>
      <c r="G529">
        <v>2020</v>
      </c>
      <c r="H529" s="1">
        <v>43881</v>
      </c>
      <c r="I529" t="s">
        <v>22</v>
      </c>
      <c r="J529" t="s">
        <v>38</v>
      </c>
      <c r="K529">
        <v>4</v>
      </c>
      <c r="L529" t="str">
        <f>IF(AND(C529&gt; Sheet1!B535,K529&lt;3), "Misaligned","Aligned")</f>
        <v>Aligned</v>
      </c>
    </row>
    <row r="530" spans="1:12" x14ac:dyDescent="0.3">
      <c r="A530" t="s">
        <v>31</v>
      </c>
      <c r="B530">
        <v>35</v>
      </c>
      <c r="C530">
        <v>60000</v>
      </c>
      <c r="D530" t="s">
        <v>12</v>
      </c>
      <c r="E530" t="s">
        <v>33</v>
      </c>
      <c r="F530" t="s">
        <v>21</v>
      </c>
      <c r="G530">
        <v>2019</v>
      </c>
      <c r="H530" s="1">
        <v>43549</v>
      </c>
      <c r="I530" t="s">
        <v>34</v>
      </c>
      <c r="J530" t="s">
        <v>38</v>
      </c>
      <c r="K530">
        <v>4</v>
      </c>
      <c r="L530" t="str">
        <f>IF(AND(C530&gt; Sheet1!B536,K530&lt;3), "Misaligned","Aligned")</f>
        <v>Aligned</v>
      </c>
    </row>
    <row r="531" spans="1:12" x14ac:dyDescent="0.3">
      <c r="A531" t="s">
        <v>31</v>
      </c>
      <c r="B531">
        <v>30</v>
      </c>
      <c r="C531">
        <v>50000</v>
      </c>
      <c r="D531" t="s">
        <v>32</v>
      </c>
      <c r="E531" t="s">
        <v>33</v>
      </c>
      <c r="F531" t="s">
        <v>40</v>
      </c>
      <c r="G531">
        <v>2020</v>
      </c>
      <c r="H531" s="1">
        <v>43881</v>
      </c>
      <c r="I531" t="s">
        <v>22</v>
      </c>
      <c r="J531" t="s">
        <v>30</v>
      </c>
      <c r="K531">
        <v>5</v>
      </c>
      <c r="L531" t="str">
        <f>IF(AND(C531&gt; Sheet1!B537,K531&lt;3), "Misaligned","Aligned")</f>
        <v>Aligned</v>
      </c>
    </row>
    <row r="532" spans="1:12" x14ac:dyDescent="0.3">
      <c r="A532" t="s">
        <v>11</v>
      </c>
      <c r="B532">
        <v>35</v>
      </c>
      <c r="C532">
        <v>70000</v>
      </c>
      <c r="D532" t="s">
        <v>12</v>
      </c>
      <c r="E532" t="s">
        <v>20</v>
      </c>
      <c r="F532" t="s">
        <v>39</v>
      </c>
      <c r="G532">
        <v>2019</v>
      </c>
      <c r="H532" s="1">
        <v>43800</v>
      </c>
      <c r="I532" t="s">
        <v>37</v>
      </c>
      <c r="J532" t="s">
        <v>23</v>
      </c>
      <c r="K532">
        <v>1</v>
      </c>
      <c r="L532" t="str">
        <f>IF(AND(C532&gt; Sheet1!B538,K532&lt;3), "Misaligned","Aligned")</f>
        <v>Misaligned</v>
      </c>
    </row>
    <row r="533" spans="1:12" x14ac:dyDescent="0.3">
      <c r="A533" t="s">
        <v>31</v>
      </c>
      <c r="B533">
        <v>40</v>
      </c>
      <c r="C533">
        <v>60000</v>
      </c>
      <c r="D533" t="s">
        <v>12</v>
      </c>
      <c r="E533" t="s">
        <v>29</v>
      </c>
      <c r="F533" t="s">
        <v>21</v>
      </c>
      <c r="G533">
        <v>2020</v>
      </c>
      <c r="H533" s="1">
        <v>43845</v>
      </c>
      <c r="I533" t="s">
        <v>26</v>
      </c>
      <c r="J533" t="s">
        <v>30</v>
      </c>
      <c r="K533">
        <v>5</v>
      </c>
      <c r="L533" t="str">
        <f>IF(AND(C533&gt; Sheet1!B539,K533&lt;3), "Misaligned","Aligned")</f>
        <v>Aligned</v>
      </c>
    </row>
    <row r="534" spans="1:12" x14ac:dyDescent="0.3">
      <c r="A534" t="s">
        <v>28</v>
      </c>
      <c r="B534">
        <v>40</v>
      </c>
      <c r="C534">
        <v>60000</v>
      </c>
      <c r="D534" t="s">
        <v>12</v>
      </c>
      <c r="E534" t="s">
        <v>13</v>
      </c>
      <c r="F534" t="s">
        <v>39</v>
      </c>
      <c r="G534">
        <v>2020</v>
      </c>
      <c r="H534" s="1">
        <v>43881</v>
      </c>
      <c r="I534" t="s">
        <v>22</v>
      </c>
      <c r="J534" t="s">
        <v>38</v>
      </c>
      <c r="K534">
        <v>4</v>
      </c>
      <c r="L534" t="str">
        <f>IF(AND(C534&gt; Sheet1!B540,K534&lt;3), "Misaligned","Aligned")</f>
        <v>Aligned</v>
      </c>
    </row>
    <row r="535" spans="1:12" x14ac:dyDescent="0.3">
      <c r="A535" t="s">
        <v>35</v>
      </c>
      <c r="B535">
        <v>25</v>
      </c>
      <c r="C535">
        <v>50000</v>
      </c>
      <c r="D535" t="s">
        <v>12</v>
      </c>
      <c r="E535" t="s">
        <v>25</v>
      </c>
      <c r="F535" t="s">
        <v>40</v>
      </c>
      <c r="G535">
        <v>2019</v>
      </c>
      <c r="H535" s="1">
        <v>43800</v>
      </c>
      <c r="I535" t="s">
        <v>37</v>
      </c>
      <c r="J535" t="s">
        <v>38</v>
      </c>
      <c r="K535">
        <v>4</v>
      </c>
      <c r="L535" t="str">
        <f>IF(AND(C535&gt; Sheet1!B541,K535&lt;3), "Misaligned","Aligned")</f>
        <v>Aligned</v>
      </c>
    </row>
    <row r="536" spans="1:12" x14ac:dyDescent="0.3">
      <c r="A536" t="s">
        <v>11</v>
      </c>
      <c r="B536">
        <v>50</v>
      </c>
      <c r="C536">
        <v>70000</v>
      </c>
      <c r="D536" t="s">
        <v>19</v>
      </c>
      <c r="E536" t="s">
        <v>25</v>
      </c>
      <c r="F536" t="s">
        <v>21</v>
      </c>
      <c r="G536">
        <v>2018</v>
      </c>
      <c r="H536" s="1">
        <v>43195</v>
      </c>
      <c r="I536" t="s">
        <v>15</v>
      </c>
      <c r="J536" t="s">
        <v>23</v>
      </c>
      <c r="K536">
        <v>1</v>
      </c>
      <c r="L536" t="str">
        <f>IF(AND(C536&gt; Sheet1!B542,K536&lt;3), "Misaligned","Aligned")</f>
        <v>Misaligned</v>
      </c>
    </row>
    <row r="537" spans="1:12" x14ac:dyDescent="0.3">
      <c r="A537" t="s">
        <v>42</v>
      </c>
      <c r="B537">
        <v>35</v>
      </c>
      <c r="C537">
        <v>65000</v>
      </c>
      <c r="D537" t="s">
        <v>32</v>
      </c>
      <c r="E537" t="s">
        <v>29</v>
      </c>
      <c r="F537" t="s">
        <v>40</v>
      </c>
      <c r="G537">
        <v>2019</v>
      </c>
      <c r="H537" s="1">
        <v>43549</v>
      </c>
      <c r="I537" t="s">
        <v>34</v>
      </c>
      <c r="J537" t="s">
        <v>16</v>
      </c>
      <c r="K537">
        <v>2</v>
      </c>
      <c r="L537" t="str">
        <f>IF(AND(C537&gt; Sheet1!B543,K537&lt;3), "Misaligned","Aligned")</f>
        <v>Misaligned</v>
      </c>
    </row>
    <row r="538" spans="1:12" x14ac:dyDescent="0.3">
      <c r="A538" t="s">
        <v>44</v>
      </c>
      <c r="B538" t="s">
        <v>18</v>
      </c>
      <c r="C538">
        <v>70000</v>
      </c>
      <c r="D538" t="s">
        <v>32</v>
      </c>
      <c r="E538" t="s">
        <v>33</v>
      </c>
      <c r="F538" t="s">
        <v>14</v>
      </c>
      <c r="G538">
        <v>2020</v>
      </c>
      <c r="H538" s="1">
        <v>43881</v>
      </c>
      <c r="I538" t="s">
        <v>22</v>
      </c>
      <c r="J538" t="s">
        <v>16</v>
      </c>
      <c r="K538">
        <v>2</v>
      </c>
      <c r="L538" t="str">
        <f>IF(AND(C538&gt; Sheet1!B544,K538&lt;3), "Misaligned","Aligned")</f>
        <v>Misaligned</v>
      </c>
    </row>
    <row r="539" spans="1:12" x14ac:dyDescent="0.3">
      <c r="A539" t="s">
        <v>31</v>
      </c>
      <c r="B539">
        <v>25</v>
      </c>
      <c r="C539">
        <v>55000</v>
      </c>
      <c r="D539" t="s">
        <v>32</v>
      </c>
      <c r="E539" t="s">
        <v>13</v>
      </c>
      <c r="F539" t="s">
        <v>40</v>
      </c>
      <c r="G539">
        <v>2020</v>
      </c>
      <c r="H539" s="1">
        <v>43845</v>
      </c>
      <c r="I539" t="s">
        <v>26</v>
      </c>
      <c r="J539" t="s">
        <v>23</v>
      </c>
      <c r="K539">
        <v>1</v>
      </c>
      <c r="L539" t="str">
        <f>IF(AND(C539&gt; Sheet1!B545,K539&lt;3), "Misaligned","Aligned")</f>
        <v>Misaligned</v>
      </c>
    </row>
    <row r="540" spans="1:12" x14ac:dyDescent="0.3">
      <c r="A540" t="s">
        <v>31</v>
      </c>
      <c r="B540">
        <v>35</v>
      </c>
      <c r="C540" t="s">
        <v>18</v>
      </c>
      <c r="D540" t="s">
        <v>12</v>
      </c>
      <c r="E540" t="s">
        <v>25</v>
      </c>
      <c r="F540" t="s">
        <v>39</v>
      </c>
      <c r="G540">
        <v>2018</v>
      </c>
      <c r="H540" s="1">
        <v>43195</v>
      </c>
      <c r="I540" t="s">
        <v>15</v>
      </c>
      <c r="J540" t="s">
        <v>23</v>
      </c>
      <c r="K540">
        <v>1</v>
      </c>
      <c r="L540" t="str">
        <f>IF(AND(C540&gt; Sheet1!B546,K540&lt;3), "Misaligned","Aligned")</f>
        <v>Misaligned</v>
      </c>
    </row>
    <row r="541" spans="1:12" x14ac:dyDescent="0.3">
      <c r="A541" t="s">
        <v>43</v>
      </c>
      <c r="B541">
        <v>35</v>
      </c>
      <c r="C541">
        <v>65000</v>
      </c>
      <c r="D541" t="s">
        <v>19</v>
      </c>
      <c r="E541" t="s">
        <v>25</v>
      </c>
      <c r="F541" t="s">
        <v>36</v>
      </c>
      <c r="G541">
        <v>2019</v>
      </c>
      <c r="H541" s="1">
        <v>43800</v>
      </c>
      <c r="I541" t="s">
        <v>37</v>
      </c>
      <c r="J541" t="s">
        <v>30</v>
      </c>
      <c r="K541">
        <v>5</v>
      </c>
      <c r="L541" t="str">
        <f>IF(AND(C541&gt; Sheet1!B547,K541&lt;3), "Misaligned","Aligned")</f>
        <v>Aligned</v>
      </c>
    </row>
    <row r="542" spans="1:12" x14ac:dyDescent="0.3">
      <c r="A542" t="s">
        <v>41</v>
      </c>
      <c r="B542">
        <v>25</v>
      </c>
      <c r="C542">
        <v>60000</v>
      </c>
      <c r="D542" t="s">
        <v>32</v>
      </c>
      <c r="E542" t="s">
        <v>33</v>
      </c>
      <c r="F542" t="s">
        <v>40</v>
      </c>
      <c r="G542">
        <v>2019</v>
      </c>
      <c r="H542" s="1">
        <v>43549</v>
      </c>
      <c r="I542" t="s">
        <v>34</v>
      </c>
      <c r="J542" t="s">
        <v>23</v>
      </c>
      <c r="K542">
        <v>1</v>
      </c>
      <c r="L542" t="str">
        <f>IF(AND(C542&gt; Sheet1!B548,K542&lt;3), "Misaligned","Aligned")</f>
        <v>Misaligned</v>
      </c>
    </row>
    <row r="543" spans="1:12" x14ac:dyDescent="0.3">
      <c r="A543" t="s">
        <v>11</v>
      </c>
      <c r="B543">
        <v>40</v>
      </c>
      <c r="C543">
        <v>65000</v>
      </c>
      <c r="D543" t="s">
        <v>19</v>
      </c>
      <c r="E543" t="s">
        <v>29</v>
      </c>
      <c r="F543" t="s">
        <v>36</v>
      </c>
      <c r="G543">
        <v>2020</v>
      </c>
      <c r="H543" s="1">
        <v>43845</v>
      </c>
      <c r="I543" t="s">
        <v>26</v>
      </c>
      <c r="J543" t="s">
        <v>16</v>
      </c>
      <c r="K543">
        <v>2</v>
      </c>
      <c r="L543" t="str">
        <f>IF(AND(C543&gt; Sheet1!B549,K543&lt;3), "Misaligned","Aligned")</f>
        <v>Misaligned</v>
      </c>
    </row>
    <row r="544" spans="1:12" x14ac:dyDescent="0.3">
      <c r="A544" t="s">
        <v>24</v>
      </c>
      <c r="B544">
        <v>35</v>
      </c>
      <c r="C544">
        <v>60000</v>
      </c>
      <c r="D544" t="s">
        <v>12</v>
      </c>
      <c r="E544" t="s">
        <v>13</v>
      </c>
      <c r="F544" t="s">
        <v>14</v>
      </c>
      <c r="G544">
        <v>2019</v>
      </c>
      <c r="H544" s="1">
        <v>43800</v>
      </c>
      <c r="I544" t="s">
        <v>37</v>
      </c>
      <c r="J544" t="s">
        <v>23</v>
      </c>
      <c r="K544">
        <v>1</v>
      </c>
      <c r="L544" t="str">
        <f>IF(AND(C544&gt; Sheet1!B550,K544&lt;3), "Misaligned","Aligned")</f>
        <v>Misaligned</v>
      </c>
    </row>
    <row r="545" spans="1:12" x14ac:dyDescent="0.3">
      <c r="A545" t="s">
        <v>31</v>
      </c>
      <c r="B545">
        <v>40</v>
      </c>
      <c r="C545">
        <v>60000</v>
      </c>
      <c r="D545" t="s">
        <v>32</v>
      </c>
      <c r="E545" t="s">
        <v>29</v>
      </c>
      <c r="F545" t="s">
        <v>21</v>
      </c>
      <c r="G545">
        <v>2019</v>
      </c>
      <c r="H545" s="1">
        <v>43800</v>
      </c>
      <c r="I545" t="s">
        <v>37</v>
      </c>
      <c r="J545" t="s">
        <v>30</v>
      </c>
      <c r="K545">
        <v>5</v>
      </c>
      <c r="L545" t="str">
        <f>IF(AND(C545&gt; Sheet1!B551,K545&lt;3), "Misaligned","Aligned")</f>
        <v>Aligned</v>
      </c>
    </row>
    <row r="546" spans="1:12" x14ac:dyDescent="0.3">
      <c r="A546" t="s">
        <v>44</v>
      </c>
      <c r="B546">
        <v>25</v>
      </c>
      <c r="C546">
        <v>65000</v>
      </c>
      <c r="D546" t="s">
        <v>19</v>
      </c>
      <c r="E546" t="s">
        <v>29</v>
      </c>
      <c r="F546" t="s">
        <v>21</v>
      </c>
      <c r="G546">
        <v>2020</v>
      </c>
      <c r="H546" s="1">
        <v>43881</v>
      </c>
      <c r="I546" t="s">
        <v>22</v>
      </c>
      <c r="J546" t="s">
        <v>30</v>
      </c>
      <c r="K546">
        <v>5</v>
      </c>
      <c r="L546" t="str">
        <f>IF(AND(C546&gt; Sheet1!B552,K546&lt;3), "Misaligned","Aligned")</f>
        <v>Aligned</v>
      </c>
    </row>
    <row r="547" spans="1:12" x14ac:dyDescent="0.3">
      <c r="A547" t="s">
        <v>42</v>
      </c>
      <c r="B547">
        <v>40</v>
      </c>
      <c r="C547">
        <v>60000</v>
      </c>
      <c r="D547" t="s">
        <v>12</v>
      </c>
      <c r="E547" t="s">
        <v>13</v>
      </c>
      <c r="F547" t="s">
        <v>36</v>
      </c>
      <c r="G547">
        <v>2020</v>
      </c>
      <c r="H547" s="1">
        <v>43881</v>
      </c>
      <c r="I547" t="s">
        <v>22</v>
      </c>
      <c r="J547" t="s">
        <v>30</v>
      </c>
      <c r="K547">
        <v>5</v>
      </c>
      <c r="L547" t="str">
        <f>IF(AND(C547&gt; Sheet1!B553,K547&lt;3), "Misaligned","Aligned")</f>
        <v>Aligned</v>
      </c>
    </row>
    <row r="548" spans="1:12" x14ac:dyDescent="0.3">
      <c r="A548" t="s">
        <v>31</v>
      </c>
      <c r="B548">
        <v>30</v>
      </c>
      <c r="C548">
        <v>60000</v>
      </c>
      <c r="D548" t="s">
        <v>19</v>
      </c>
      <c r="E548" t="s">
        <v>13</v>
      </c>
      <c r="F548" t="s">
        <v>21</v>
      </c>
      <c r="G548">
        <v>2020</v>
      </c>
      <c r="H548" s="1">
        <v>43845</v>
      </c>
      <c r="I548" t="s">
        <v>26</v>
      </c>
      <c r="J548" t="s">
        <v>30</v>
      </c>
      <c r="K548">
        <v>5</v>
      </c>
      <c r="L548" t="str">
        <f>IF(AND(C548&gt; Sheet1!B554,K548&lt;3), "Misaligned","Aligned")</f>
        <v>Aligned</v>
      </c>
    </row>
    <row r="549" spans="1:12" x14ac:dyDescent="0.3">
      <c r="A549" t="s">
        <v>42</v>
      </c>
      <c r="B549" t="s">
        <v>18</v>
      </c>
      <c r="C549">
        <v>55000</v>
      </c>
      <c r="D549" t="s">
        <v>32</v>
      </c>
      <c r="E549" t="s">
        <v>25</v>
      </c>
      <c r="F549" t="s">
        <v>40</v>
      </c>
      <c r="G549">
        <v>2019</v>
      </c>
      <c r="H549" s="1">
        <v>43800</v>
      </c>
      <c r="I549" t="s">
        <v>37</v>
      </c>
      <c r="J549" t="s">
        <v>27</v>
      </c>
      <c r="K549">
        <v>3</v>
      </c>
      <c r="L549" t="str">
        <f>IF(AND(C549&gt; Sheet1!B555,K549&lt;3), "Misaligned","Aligned")</f>
        <v>Aligned</v>
      </c>
    </row>
    <row r="550" spans="1:12" x14ac:dyDescent="0.3">
      <c r="A550" t="s">
        <v>28</v>
      </c>
      <c r="B550">
        <v>35</v>
      </c>
      <c r="C550">
        <v>70000</v>
      </c>
      <c r="D550" t="s">
        <v>32</v>
      </c>
      <c r="E550" t="s">
        <v>25</v>
      </c>
      <c r="F550" t="s">
        <v>36</v>
      </c>
      <c r="G550">
        <v>2020</v>
      </c>
      <c r="H550" s="1">
        <v>43881</v>
      </c>
      <c r="I550" t="s">
        <v>22</v>
      </c>
      <c r="J550" t="s">
        <v>23</v>
      </c>
      <c r="K550">
        <v>1</v>
      </c>
      <c r="L550" t="str">
        <f>IF(AND(C550&gt; Sheet1!B556,K550&lt;3), "Misaligned","Aligned")</f>
        <v>Misaligned</v>
      </c>
    </row>
    <row r="551" spans="1:12" x14ac:dyDescent="0.3">
      <c r="A551" t="s">
        <v>28</v>
      </c>
      <c r="B551">
        <v>50</v>
      </c>
      <c r="C551">
        <v>70000</v>
      </c>
      <c r="D551" t="s">
        <v>12</v>
      </c>
      <c r="E551" t="s">
        <v>13</v>
      </c>
      <c r="F551" t="s">
        <v>39</v>
      </c>
      <c r="G551">
        <v>2019</v>
      </c>
      <c r="H551" s="1">
        <v>43549</v>
      </c>
      <c r="I551" t="s">
        <v>34</v>
      </c>
      <c r="J551" t="s">
        <v>38</v>
      </c>
      <c r="K551">
        <v>4</v>
      </c>
      <c r="L551" t="str">
        <f>IF(AND(C551&gt; Sheet1!B557,K551&lt;3), "Misaligned","Aligned")</f>
        <v>Aligned</v>
      </c>
    </row>
    <row r="552" spans="1:12" x14ac:dyDescent="0.3">
      <c r="A552" t="s">
        <v>41</v>
      </c>
      <c r="B552" t="s">
        <v>18</v>
      </c>
      <c r="C552" t="s">
        <v>18</v>
      </c>
      <c r="D552" t="s">
        <v>12</v>
      </c>
      <c r="E552" t="s">
        <v>20</v>
      </c>
      <c r="F552" t="s">
        <v>40</v>
      </c>
      <c r="G552">
        <v>2019</v>
      </c>
      <c r="H552" s="1">
        <v>43549</v>
      </c>
      <c r="I552" t="s">
        <v>34</v>
      </c>
      <c r="J552" t="s">
        <v>23</v>
      </c>
      <c r="K552">
        <v>1</v>
      </c>
      <c r="L552" t="str">
        <f>IF(AND(C552&gt; Sheet1!B558,K552&lt;3), "Misaligned","Aligned")</f>
        <v>Misaligned</v>
      </c>
    </row>
    <row r="553" spans="1:12" x14ac:dyDescent="0.3">
      <c r="A553" t="s">
        <v>35</v>
      </c>
      <c r="B553">
        <v>40</v>
      </c>
      <c r="C553" t="s">
        <v>18</v>
      </c>
      <c r="D553" t="s">
        <v>12</v>
      </c>
      <c r="E553" t="s">
        <v>25</v>
      </c>
      <c r="F553" t="s">
        <v>40</v>
      </c>
      <c r="G553">
        <v>2019</v>
      </c>
      <c r="H553" s="1">
        <v>43800</v>
      </c>
      <c r="I553" t="s">
        <v>37</v>
      </c>
      <c r="J553" t="s">
        <v>27</v>
      </c>
      <c r="K553">
        <v>3</v>
      </c>
      <c r="L553" t="str">
        <f>IF(AND(C553&gt; Sheet1!B559,K553&lt;3), "Misaligned","Aligned")</f>
        <v>Aligned</v>
      </c>
    </row>
    <row r="554" spans="1:12" x14ac:dyDescent="0.3">
      <c r="A554" t="s">
        <v>24</v>
      </c>
      <c r="B554">
        <v>35</v>
      </c>
      <c r="C554">
        <v>55000</v>
      </c>
      <c r="D554" t="s">
        <v>19</v>
      </c>
      <c r="E554" t="s">
        <v>20</v>
      </c>
      <c r="F554" t="s">
        <v>40</v>
      </c>
      <c r="G554">
        <v>2020</v>
      </c>
      <c r="H554" s="1">
        <v>43881</v>
      </c>
      <c r="I554" t="s">
        <v>22</v>
      </c>
      <c r="J554" t="s">
        <v>30</v>
      </c>
      <c r="K554">
        <v>5</v>
      </c>
      <c r="L554" t="str">
        <f>IF(AND(C554&gt; Sheet1!B560,K554&lt;3), "Misaligned","Aligned")</f>
        <v>Aligned</v>
      </c>
    </row>
    <row r="555" spans="1:12" x14ac:dyDescent="0.3">
      <c r="A555" t="s">
        <v>43</v>
      </c>
      <c r="B555">
        <v>40</v>
      </c>
      <c r="C555" t="s">
        <v>18</v>
      </c>
      <c r="D555" t="s">
        <v>19</v>
      </c>
      <c r="E555" t="s">
        <v>13</v>
      </c>
      <c r="F555" t="s">
        <v>39</v>
      </c>
      <c r="G555">
        <v>2020</v>
      </c>
      <c r="H555" s="1">
        <v>43845</v>
      </c>
      <c r="I555" t="s">
        <v>26</v>
      </c>
      <c r="J555" t="s">
        <v>27</v>
      </c>
      <c r="K555">
        <v>3</v>
      </c>
      <c r="L555" t="str">
        <f>IF(AND(C555&gt; Sheet1!B561,K555&lt;3), "Misaligned","Aligned")</f>
        <v>Aligned</v>
      </c>
    </row>
    <row r="556" spans="1:12" x14ac:dyDescent="0.3">
      <c r="A556" t="s">
        <v>41</v>
      </c>
      <c r="B556">
        <v>30</v>
      </c>
      <c r="C556">
        <v>65000</v>
      </c>
      <c r="D556" t="s">
        <v>19</v>
      </c>
      <c r="E556" t="s">
        <v>25</v>
      </c>
      <c r="F556" t="s">
        <v>14</v>
      </c>
      <c r="G556">
        <v>2020</v>
      </c>
      <c r="H556" s="1">
        <v>43845</v>
      </c>
      <c r="I556" t="s">
        <v>26</v>
      </c>
      <c r="J556" t="s">
        <v>16</v>
      </c>
      <c r="K556">
        <v>2</v>
      </c>
      <c r="L556" t="str">
        <f>IF(AND(C556&gt; Sheet1!B562,K556&lt;3), "Misaligned","Aligned")</f>
        <v>Misaligned</v>
      </c>
    </row>
    <row r="557" spans="1:12" x14ac:dyDescent="0.3">
      <c r="A557" t="s">
        <v>17</v>
      </c>
      <c r="B557">
        <v>25</v>
      </c>
      <c r="C557">
        <v>50000</v>
      </c>
      <c r="D557" t="s">
        <v>12</v>
      </c>
      <c r="E557" t="s">
        <v>29</v>
      </c>
      <c r="F557" t="s">
        <v>21</v>
      </c>
      <c r="G557">
        <v>2020</v>
      </c>
      <c r="H557" s="1">
        <v>43845</v>
      </c>
      <c r="I557" t="s">
        <v>26</v>
      </c>
      <c r="J557" t="s">
        <v>16</v>
      </c>
      <c r="K557">
        <v>2</v>
      </c>
      <c r="L557" t="str">
        <f>IF(AND(C557&gt; Sheet1!B563,K557&lt;3), "Misaligned","Aligned")</f>
        <v>Misaligned</v>
      </c>
    </row>
    <row r="558" spans="1:12" x14ac:dyDescent="0.3">
      <c r="A558" t="s">
        <v>43</v>
      </c>
      <c r="B558">
        <v>35</v>
      </c>
      <c r="C558">
        <v>50000</v>
      </c>
      <c r="D558" t="s">
        <v>32</v>
      </c>
      <c r="E558" t="s">
        <v>13</v>
      </c>
      <c r="F558" t="s">
        <v>36</v>
      </c>
      <c r="G558">
        <v>2019</v>
      </c>
      <c r="H558" s="1">
        <v>43549</v>
      </c>
      <c r="I558" t="s">
        <v>34</v>
      </c>
      <c r="J558" t="s">
        <v>23</v>
      </c>
      <c r="K558">
        <v>1</v>
      </c>
      <c r="L558" t="str">
        <f>IF(AND(C558&gt; Sheet1!B564,K558&lt;3), "Misaligned","Aligned")</f>
        <v>Misaligned</v>
      </c>
    </row>
    <row r="559" spans="1:12" x14ac:dyDescent="0.3">
      <c r="A559" t="s">
        <v>11</v>
      </c>
      <c r="B559">
        <v>30</v>
      </c>
      <c r="C559">
        <v>50000</v>
      </c>
      <c r="D559" t="s">
        <v>32</v>
      </c>
      <c r="E559" t="s">
        <v>33</v>
      </c>
      <c r="F559" t="s">
        <v>14</v>
      </c>
      <c r="G559">
        <v>2020</v>
      </c>
      <c r="H559" s="1">
        <v>43881</v>
      </c>
      <c r="I559" t="s">
        <v>22</v>
      </c>
      <c r="J559" t="s">
        <v>23</v>
      </c>
      <c r="K559">
        <v>1</v>
      </c>
      <c r="L559" t="str">
        <f>IF(AND(C559&gt; Sheet1!B565,K559&lt;3), "Misaligned","Aligned")</f>
        <v>Misaligned</v>
      </c>
    </row>
    <row r="560" spans="1:12" x14ac:dyDescent="0.3">
      <c r="A560" t="s">
        <v>44</v>
      </c>
      <c r="B560">
        <v>30</v>
      </c>
      <c r="C560">
        <v>55000</v>
      </c>
      <c r="D560" t="s">
        <v>19</v>
      </c>
      <c r="E560" t="s">
        <v>20</v>
      </c>
      <c r="F560" t="s">
        <v>36</v>
      </c>
      <c r="G560">
        <v>2020</v>
      </c>
      <c r="H560" s="1">
        <v>43881</v>
      </c>
      <c r="I560" t="s">
        <v>22</v>
      </c>
      <c r="J560" t="s">
        <v>38</v>
      </c>
      <c r="K560">
        <v>4</v>
      </c>
      <c r="L560" t="str">
        <f>IF(AND(C560&gt; Sheet1!B566,K560&lt;3), "Misaligned","Aligned")</f>
        <v>Aligned</v>
      </c>
    </row>
    <row r="561" spans="1:12" x14ac:dyDescent="0.3">
      <c r="A561" t="s">
        <v>17</v>
      </c>
      <c r="B561">
        <v>35</v>
      </c>
      <c r="C561">
        <v>55000</v>
      </c>
      <c r="D561" t="s">
        <v>19</v>
      </c>
      <c r="E561" t="s">
        <v>13</v>
      </c>
      <c r="F561" t="s">
        <v>21</v>
      </c>
      <c r="G561">
        <v>2019</v>
      </c>
      <c r="H561" s="1">
        <v>43549</v>
      </c>
      <c r="I561" t="s">
        <v>34</v>
      </c>
      <c r="J561" t="s">
        <v>38</v>
      </c>
      <c r="K561">
        <v>4</v>
      </c>
      <c r="L561" t="str">
        <f>IF(AND(C561&gt; Sheet1!B567,K561&lt;3), "Misaligned","Aligned")</f>
        <v>Aligned</v>
      </c>
    </row>
    <row r="562" spans="1:12" x14ac:dyDescent="0.3">
      <c r="A562" t="s">
        <v>17</v>
      </c>
      <c r="B562">
        <v>40</v>
      </c>
      <c r="C562">
        <v>60000</v>
      </c>
      <c r="D562" t="s">
        <v>32</v>
      </c>
      <c r="E562" t="s">
        <v>13</v>
      </c>
      <c r="F562" t="s">
        <v>39</v>
      </c>
      <c r="G562">
        <v>2020</v>
      </c>
      <c r="H562" s="1">
        <v>43845</v>
      </c>
      <c r="I562" t="s">
        <v>26</v>
      </c>
      <c r="J562" t="s">
        <v>16</v>
      </c>
      <c r="K562">
        <v>2</v>
      </c>
      <c r="L562" t="str">
        <f>IF(AND(C562&gt; Sheet1!B568,K562&lt;3), "Misaligned","Aligned")</f>
        <v>Misaligned</v>
      </c>
    </row>
    <row r="563" spans="1:12" x14ac:dyDescent="0.3">
      <c r="A563" t="s">
        <v>41</v>
      </c>
      <c r="B563">
        <v>50</v>
      </c>
      <c r="C563">
        <v>50000</v>
      </c>
      <c r="D563" t="s">
        <v>32</v>
      </c>
      <c r="E563" t="s">
        <v>25</v>
      </c>
      <c r="F563" t="s">
        <v>40</v>
      </c>
      <c r="G563">
        <v>2020</v>
      </c>
      <c r="H563" s="1">
        <v>43845</v>
      </c>
      <c r="I563" t="s">
        <v>26</v>
      </c>
      <c r="J563" t="s">
        <v>30</v>
      </c>
      <c r="K563">
        <v>5</v>
      </c>
      <c r="L563" t="str">
        <f>IF(AND(C563&gt; Sheet1!B569,K563&lt;3), "Misaligned","Aligned")</f>
        <v>Aligned</v>
      </c>
    </row>
    <row r="564" spans="1:12" x14ac:dyDescent="0.3">
      <c r="A564" t="s">
        <v>35</v>
      </c>
      <c r="B564">
        <v>30</v>
      </c>
      <c r="C564">
        <v>65000</v>
      </c>
      <c r="D564" t="s">
        <v>19</v>
      </c>
      <c r="E564" t="s">
        <v>25</v>
      </c>
      <c r="F564" t="s">
        <v>40</v>
      </c>
      <c r="G564">
        <v>2019</v>
      </c>
      <c r="H564" s="1">
        <v>43800</v>
      </c>
      <c r="I564" t="s">
        <v>37</v>
      </c>
      <c r="J564" t="s">
        <v>27</v>
      </c>
      <c r="K564">
        <v>3</v>
      </c>
      <c r="L564" t="str">
        <f>IF(AND(C564&gt; Sheet1!B570,K564&lt;3), "Misaligned","Aligned")</f>
        <v>Aligned</v>
      </c>
    </row>
    <row r="565" spans="1:12" x14ac:dyDescent="0.3">
      <c r="A565" t="s">
        <v>41</v>
      </c>
      <c r="B565" t="s">
        <v>18</v>
      </c>
      <c r="C565" t="s">
        <v>18</v>
      </c>
      <c r="D565" t="s">
        <v>19</v>
      </c>
      <c r="E565" t="s">
        <v>25</v>
      </c>
      <c r="F565" t="s">
        <v>39</v>
      </c>
      <c r="G565">
        <v>2018</v>
      </c>
      <c r="H565" s="1">
        <v>43195</v>
      </c>
      <c r="I565" t="s">
        <v>15</v>
      </c>
      <c r="J565" t="s">
        <v>38</v>
      </c>
      <c r="K565">
        <v>4</v>
      </c>
      <c r="L565" t="str">
        <f>IF(AND(C565&gt; Sheet1!B571,K565&lt;3), "Misaligned","Aligned")</f>
        <v>Aligned</v>
      </c>
    </row>
    <row r="566" spans="1:12" x14ac:dyDescent="0.3">
      <c r="A566" t="s">
        <v>11</v>
      </c>
      <c r="B566">
        <v>30</v>
      </c>
      <c r="C566">
        <v>65000</v>
      </c>
      <c r="D566" t="s">
        <v>32</v>
      </c>
      <c r="E566" t="s">
        <v>33</v>
      </c>
      <c r="F566" t="s">
        <v>14</v>
      </c>
      <c r="G566">
        <v>2020</v>
      </c>
      <c r="H566" s="1">
        <v>43881</v>
      </c>
      <c r="I566" t="s">
        <v>22</v>
      </c>
      <c r="J566" t="s">
        <v>38</v>
      </c>
      <c r="K566">
        <v>4</v>
      </c>
      <c r="L566" t="str">
        <f>IF(AND(C566&gt; Sheet1!B572,K566&lt;3), "Misaligned","Aligned")</f>
        <v>Aligned</v>
      </c>
    </row>
    <row r="567" spans="1:12" x14ac:dyDescent="0.3">
      <c r="A567" t="s">
        <v>31</v>
      </c>
      <c r="B567">
        <v>50</v>
      </c>
      <c r="C567" t="s">
        <v>18</v>
      </c>
      <c r="D567" t="s">
        <v>12</v>
      </c>
      <c r="E567" t="s">
        <v>25</v>
      </c>
      <c r="F567" t="s">
        <v>14</v>
      </c>
      <c r="G567">
        <v>2020</v>
      </c>
      <c r="H567" s="1">
        <v>43881</v>
      </c>
      <c r="I567" t="s">
        <v>22</v>
      </c>
      <c r="J567" t="s">
        <v>30</v>
      </c>
      <c r="K567">
        <v>5</v>
      </c>
      <c r="L567" t="str">
        <f>IF(AND(C567&gt; Sheet1!B573,K567&lt;3), "Misaligned","Aligned")</f>
        <v>Aligned</v>
      </c>
    </row>
    <row r="568" spans="1:12" x14ac:dyDescent="0.3">
      <c r="A568" t="s">
        <v>31</v>
      </c>
      <c r="B568">
        <v>40</v>
      </c>
      <c r="C568">
        <v>50000</v>
      </c>
      <c r="D568" t="s">
        <v>19</v>
      </c>
      <c r="E568" t="s">
        <v>13</v>
      </c>
      <c r="F568" t="s">
        <v>36</v>
      </c>
      <c r="G568">
        <v>2020</v>
      </c>
      <c r="H568" s="1">
        <v>43881</v>
      </c>
      <c r="I568" t="s">
        <v>22</v>
      </c>
      <c r="J568" t="s">
        <v>30</v>
      </c>
      <c r="K568">
        <v>5</v>
      </c>
      <c r="L568" t="str">
        <f>IF(AND(C568&gt; Sheet1!B574,K568&lt;3), "Misaligned","Aligned")</f>
        <v>Aligned</v>
      </c>
    </row>
    <row r="569" spans="1:12" x14ac:dyDescent="0.3">
      <c r="A569" t="s">
        <v>35</v>
      </c>
      <c r="B569">
        <v>40</v>
      </c>
      <c r="C569">
        <v>50000</v>
      </c>
      <c r="D569" t="s">
        <v>32</v>
      </c>
      <c r="E569" t="s">
        <v>25</v>
      </c>
      <c r="F569" t="s">
        <v>39</v>
      </c>
      <c r="G569">
        <v>2018</v>
      </c>
      <c r="H569" s="1">
        <v>43195</v>
      </c>
      <c r="I569" t="s">
        <v>15</v>
      </c>
      <c r="J569" t="s">
        <v>23</v>
      </c>
      <c r="K569">
        <v>1</v>
      </c>
      <c r="L569" t="str">
        <f>IF(AND(C569&gt; Sheet1!B575,K569&lt;3), "Misaligned","Aligned")</f>
        <v>Misaligned</v>
      </c>
    </row>
    <row r="570" spans="1:12" x14ac:dyDescent="0.3">
      <c r="A570" t="s">
        <v>11</v>
      </c>
      <c r="B570" t="s">
        <v>18</v>
      </c>
      <c r="C570">
        <v>50000</v>
      </c>
      <c r="D570" t="s">
        <v>32</v>
      </c>
      <c r="E570" t="s">
        <v>29</v>
      </c>
      <c r="F570" t="s">
        <v>14</v>
      </c>
      <c r="G570">
        <v>2019</v>
      </c>
      <c r="H570" s="1">
        <v>43800</v>
      </c>
      <c r="I570" t="s">
        <v>37</v>
      </c>
      <c r="J570" t="s">
        <v>27</v>
      </c>
      <c r="K570">
        <v>3</v>
      </c>
      <c r="L570" t="str">
        <f>IF(AND(C570&gt; Sheet1!B576,K570&lt;3), "Misaligned","Aligned")</f>
        <v>Aligned</v>
      </c>
    </row>
    <row r="571" spans="1:12" x14ac:dyDescent="0.3">
      <c r="A571" t="s">
        <v>35</v>
      </c>
      <c r="B571">
        <v>30</v>
      </c>
      <c r="C571">
        <v>55000</v>
      </c>
      <c r="D571" t="s">
        <v>32</v>
      </c>
      <c r="E571" t="s">
        <v>25</v>
      </c>
      <c r="F571" t="s">
        <v>39</v>
      </c>
      <c r="G571">
        <v>2018</v>
      </c>
      <c r="H571" s="1">
        <v>43195</v>
      </c>
      <c r="I571" t="s">
        <v>15</v>
      </c>
      <c r="J571" t="s">
        <v>30</v>
      </c>
      <c r="K571">
        <v>5</v>
      </c>
      <c r="L571" t="str">
        <f>IF(AND(C571&gt; Sheet1!B577,K571&lt;3), "Misaligned","Aligned")</f>
        <v>Aligned</v>
      </c>
    </row>
    <row r="572" spans="1:12" x14ac:dyDescent="0.3">
      <c r="A572" t="s">
        <v>42</v>
      </c>
      <c r="B572">
        <v>40</v>
      </c>
      <c r="C572" t="s">
        <v>18</v>
      </c>
      <c r="D572" t="s">
        <v>32</v>
      </c>
      <c r="E572" t="s">
        <v>33</v>
      </c>
      <c r="F572" t="s">
        <v>21</v>
      </c>
      <c r="G572">
        <v>2020</v>
      </c>
      <c r="H572" s="1">
        <v>43845</v>
      </c>
      <c r="I572" t="s">
        <v>26</v>
      </c>
      <c r="J572" t="s">
        <v>38</v>
      </c>
      <c r="K572">
        <v>4</v>
      </c>
      <c r="L572" t="str">
        <f>IF(AND(C572&gt; Sheet1!B578,K572&lt;3), "Misaligned","Aligned")</f>
        <v>Aligned</v>
      </c>
    </row>
    <row r="573" spans="1:12" x14ac:dyDescent="0.3">
      <c r="A573" t="s">
        <v>31</v>
      </c>
      <c r="B573">
        <v>50</v>
      </c>
      <c r="C573">
        <v>55000</v>
      </c>
      <c r="D573" t="s">
        <v>12</v>
      </c>
      <c r="E573" t="s">
        <v>29</v>
      </c>
      <c r="F573" t="s">
        <v>40</v>
      </c>
      <c r="G573">
        <v>2020</v>
      </c>
      <c r="H573" s="1">
        <v>43845</v>
      </c>
      <c r="I573" t="s">
        <v>26</v>
      </c>
      <c r="J573" t="s">
        <v>38</v>
      </c>
      <c r="K573">
        <v>4</v>
      </c>
      <c r="L573" t="str">
        <f>IF(AND(C573&gt; Sheet1!B579,K573&lt;3), "Misaligned","Aligned")</f>
        <v>Aligned</v>
      </c>
    </row>
    <row r="574" spans="1:12" x14ac:dyDescent="0.3">
      <c r="A574" t="s">
        <v>17</v>
      </c>
      <c r="B574">
        <v>35</v>
      </c>
      <c r="C574">
        <v>55000</v>
      </c>
      <c r="D574" t="s">
        <v>32</v>
      </c>
      <c r="E574" t="s">
        <v>13</v>
      </c>
      <c r="F574" t="s">
        <v>40</v>
      </c>
      <c r="G574">
        <v>2020</v>
      </c>
      <c r="H574" s="1">
        <v>43881</v>
      </c>
      <c r="I574" t="s">
        <v>22</v>
      </c>
      <c r="J574" t="s">
        <v>16</v>
      </c>
      <c r="K574">
        <v>2</v>
      </c>
      <c r="L574" t="str">
        <f>IF(AND(C574&gt; Sheet1!B580,K574&lt;3), "Misaligned","Aligned")</f>
        <v>Misaligned</v>
      </c>
    </row>
    <row r="575" spans="1:12" x14ac:dyDescent="0.3">
      <c r="A575" t="s">
        <v>24</v>
      </c>
      <c r="B575">
        <v>25</v>
      </c>
      <c r="C575">
        <v>70000</v>
      </c>
      <c r="D575" t="s">
        <v>19</v>
      </c>
      <c r="E575" t="s">
        <v>13</v>
      </c>
      <c r="F575" t="s">
        <v>40</v>
      </c>
      <c r="G575">
        <v>2019</v>
      </c>
      <c r="H575" s="1">
        <v>43549</v>
      </c>
      <c r="I575" t="s">
        <v>34</v>
      </c>
      <c r="J575" t="s">
        <v>30</v>
      </c>
      <c r="K575">
        <v>5</v>
      </c>
      <c r="L575" t="str">
        <f>IF(AND(C575&gt; Sheet1!B581,K575&lt;3), "Misaligned","Aligned")</f>
        <v>Aligned</v>
      </c>
    </row>
    <row r="576" spans="1:12" x14ac:dyDescent="0.3">
      <c r="A576" t="s">
        <v>44</v>
      </c>
      <c r="B576">
        <v>25</v>
      </c>
      <c r="C576">
        <v>65000</v>
      </c>
      <c r="D576" t="s">
        <v>12</v>
      </c>
      <c r="E576" t="s">
        <v>20</v>
      </c>
      <c r="F576" t="s">
        <v>39</v>
      </c>
      <c r="G576">
        <v>2020</v>
      </c>
      <c r="H576" s="1">
        <v>43881</v>
      </c>
      <c r="I576" t="s">
        <v>22</v>
      </c>
      <c r="J576" t="s">
        <v>23</v>
      </c>
      <c r="K576">
        <v>1</v>
      </c>
      <c r="L576" t="str">
        <f>IF(AND(C576&gt; Sheet1!B582,K576&lt;3), "Misaligned","Aligned")</f>
        <v>Misaligned</v>
      </c>
    </row>
    <row r="577" spans="1:12" x14ac:dyDescent="0.3">
      <c r="A577" t="s">
        <v>11</v>
      </c>
      <c r="B577">
        <v>25</v>
      </c>
      <c r="C577">
        <v>65000</v>
      </c>
      <c r="D577" t="s">
        <v>32</v>
      </c>
      <c r="E577" t="s">
        <v>29</v>
      </c>
      <c r="F577" t="s">
        <v>39</v>
      </c>
      <c r="G577">
        <v>2019</v>
      </c>
      <c r="H577" s="1">
        <v>43549</v>
      </c>
      <c r="I577" t="s">
        <v>34</v>
      </c>
      <c r="J577" t="s">
        <v>27</v>
      </c>
      <c r="K577">
        <v>3</v>
      </c>
      <c r="L577" t="str">
        <f>IF(AND(C577&gt; Sheet1!B583,K577&lt;3), "Misaligned","Aligned")</f>
        <v>Aligned</v>
      </c>
    </row>
    <row r="578" spans="1:12" x14ac:dyDescent="0.3">
      <c r="A578" t="s">
        <v>43</v>
      </c>
      <c r="B578">
        <v>30</v>
      </c>
      <c r="C578">
        <v>60000</v>
      </c>
      <c r="D578" t="s">
        <v>12</v>
      </c>
      <c r="E578" t="s">
        <v>20</v>
      </c>
      <c r="F578" t="s">
        <v>36</v>
      </c>
      <c r="G578">
        <v>2018</v>
      </c>
      <c r="H578" s="1">
        <v>43195</v>
      </c>
      <c r="I578" t="s">
        <v>15</v>
      </c>
      <c r="J578" t="s">
        <v>23</v>
      </c>
      <c r="K578">
        <v>1</v>
      </c>
      <c r="L578" t="str">
        <f>IF(AND(C578&gt; Sheet1!B584,K578&lt;3), "Misaligned","Aligned")</f>
        <v>Misaligned</v>
      </c>
    </row>
    <row r="579" spans="1:12" x14ac:dyDescent="0.3">
      <c r="A579" t="s">
        <v>35</v>
      </c>
      <c r="B579" t="s">
        <v>18</v>
      </c>
      <c r="C579">
        <v>55000</v>
      </c>
      <c r="D579" t="s">
        <v>19</v>
      </c>
      <c r="E579" t="s">
        <v>29</v>
      </c>
      <c r="F579" t="s">
        <v>40</v>
      </c>
      <c r="G579">
        <v>2020</v>
      </c>
      <c r="H579" s="1">
        <v>43845</v>
      </c>
      <c r="I579" t="s">
        <v>26</v>
      </c>
      <c r="J579" t="s">
        <v>38</v>
      </c>
      <c r="K579">
        <v>4</v>
      </c>
      <c r="L579" t="str">
        <f>IF(AND(C579&gt; Sheet1!B585,K579&lt;3), "Misaligned","Aligned")</f>
        <v>Aligned</v>
      </c>
    </row>
    <row r="580" spans="1:12" x14ac:dyDescent="0.3">
      <c r="A580" t="s">
        <v>44</v>
      </c>
      <c r="B580">
        <v>40</v>
      </c>
      <c r="C580" t="s">
        <v>18</v>
      </c>
      <c r="D580" t="s">
        <v>32</v>
      </c>
      <c r="E580" t="s">
        <v>29</v>
      </c>
      <c r="F580" t="s">
        <v>36</v>
      </c>
      <c r="G580">
        <v>2019</v>
      </c>
      <c r="H580" s="1">
        <v>43549</v>
      </c>
      <c r="I580" t="s">
        <v>34</v>
      </c>
      <c r="J580" t="s">
        <v>23</v>
      </c>
      <c r="K580">
        <v>1</v>
      </c>
      <c r="L580" t="str">
        <f>IF(AND(C580&gt; Sheet1!B586,K580&lt;3), "Misaligned","Aligned")</f>
        <v>Misaligned</v>
      </c>
    </row>
    <row r="581" spans="1:12" x14ac:dyDescent="0.3">
      <c r="A581" t="s">
        <v>43</v>
      </c>
      <c r="B581">
        <v>35</v>
      </c>
      <c r="C581">
        <v>70000</v>
      </c>
      <c r="D581" t="s">
        <v>19</v>
      </c>
      <c r="E581" t="s">
        <v>33</v>
      </c>
      <c r="F581" t="s">
        <v>40</v>
      </c>
      <c r="G581">
        <v>2018</v>
      </c>
      <c r="H581" s="1">
        <v>43195</v>
      </c>
      <c r="I581" t="s">
        <v>15</v>
      </c>
      <c r="J581" t="s">
        <v>38</v>
      </c>
      <c r="K581">
        <v>4</v>
      </c>
      <c r="L581" t="str">
        <f>IF(AND(C581&gt; Sheet1!B587,K581&lt;3), "Misaligned","Aligned")</f>
        <v>Aligned</v>
      </c>
    </row>
    <row r="582" spans="1:12" x14ac:dyDescent="0.3">
      <c r="A582" t="s">
        <v>44</v>
      </c>
      <c r="B582">
        <v>50</v>
      </c>
      <c r="C582">
        <v>70000</v>
      </c>
      <c r="D582" t="s">
        <v>32</v>
      </c>
      <c r="E582" t="s">
        <v>20</v>
      </c>
      <c r="F582" t="s">
        <v>36</v>
      </c>
      <c r="G582">
        <v>2020</v>
      </c>
      <c r="H582" s="1">
        <v>43845</v>
      </c>
      <c r="I582" t="s">
        <v>26</v>
      </c>
      <c r="J582" t="s">
        <v>38</v>
      </c>
      <c r="K582">
        <v>4</v>
      </c>
      <c r="L582" t="str">
        <f>IF(AND(C582&gt; Sheet1!B588,K582&lt;3), "Misaligned","Aligned")</f>
        <v>Aligned</v>
      </c>
    </row>
    <row r="583" spans="1:12" x14ac:dyDescent="0.3">
      <c r="A583" t="s">
        <v>24</v>
      </c>
      <c r="B583">
        <v>35</v>
      </c>
      <c r="C583">
        <v>65000</v>
      </c>
      <c r="D583" t="s">
        <v>32</v>
      </c>
      <c r="E583" t="s">
        <v>33</v>
      </c>
      <c r="F583" t="s">
        <v>36</v>
      </c>
      <c r="G583">
        <v>2019</v>
      </c>
      <c r="H583" s="1">
        <v>43549</v>
      </c>
      <c r="I583" t="s">
        <v>34</v>
      </c>
      <c r="J583" t="s">
        <v>38</v>
      </c>
      <c r="K583">
        <v>4</v>
      </c>
      <c r="L583" t="str">
        <f>IF(AND(C583&gt; Sheet1!B589,K583&lt;3), "Misaligned","Aligned")</f>
        <v>Aligned</v>
      </c>
    </row>
    <row r="584" spans="1:12" x14ac:dyDescent="0.3">
      <c r="A584" t="s">
        <v>43</v>
      </c>
      <c r="B584">
        <v>50</v>
      </c>
      <c r="C584">
        <v>55000</v>
      </c>
      <c r="D584" t="s">
        <v>32</v>
      </c>
      <c r="E584" t="s">
        <v>29</v>
      </c>
      <c r="F584" t="s">
        <v>21</v>
      </c>
      <c r="G584">
        <v>2020</v>
      </c>
      <c r="H584" s="1">
        <v>43881</v>
      </c>
      <c r="I584" t="s">
        <v>22</v>
      </c>
      <c r="J584" t="s">
        <v>38</v>
      </c>
      <c r="K584">
        <v>4</v>
      </c>
      <c r="L584" t="str">
        <f>IF(AND(C584&gt; Sheet1!B590,K584&lt;3), "Misaligned","Aligned")</f>
        <v>Aligned</v>
      </c>
    </row>
    <row r="585" spans="1:12" x14ac:dyDescent="0.3">
      <c r="A585" t="s">
        <v>41</v>
      </c>
      <c r="B585">
        <v>30</v>
      </c>
      <c r="C585">
        <v>60000</v>
      </c>
      <c r="D585" t="s">
        <v>32</v>
      </c>
      <c r="E585" t="s">
        <v>13</v>
      </c>
      <c r="F585" t="s">
        <v>36</v>
      </c>
      <c r="G585">
        <v>2020</v>
      </c>
      <c r="H585" s="1">
        <v>43881</v>
      </c>
      <c r="I585" t="s">
        <v>22</v>
      </c>
      <c r="J585" t="s">
        <v>38</v>
      </c>
      <c r="K585">
        <v>4</v>
      </c>
      <c r="L585" t="str">
        <f>IF(AND(C585&gt; Sheet1!B591,K585&lt;3), "Misaligned","Aligned")</f>
        <v>Aligned</v>
      </c>
    </row>
    <row r="586" spans="1:12" x14ac:dyDescent="0.3">
      <c r="A586" t="s">
        <v>28</v>
      </c>
      <c r="B586">
        <v>25</v>
      </c>
      <c r="C586">
        <v>55000</v>
      </c>
      <c r="D586" t="s">
        <v>32</v>
      </c>
      <c r="E586" t="s">
        <v>29</v>
      </c>
      <c r="F586" t="s">
        <v>39</v>
      </c>
      <c r="G586">
        <v>2020</v>
      </c>
      <c r="H586" s="1">
        <v>43881</v>
      </c>
      <c r="I586" t="s">
        <v>22</v>
      </c>
      <c r="J586" t="s">
        <v>16</v>
      </c>
      <c r="K586">
        <v>2</v>
      </c>
      <c r="L586" t="str">
        <f>IF(AND(C586&gt; Sheet1!B592,K586&lt;3), "Misaligned","Aligned")</f>
        <v>Misaligned</v>
      </c>
    </row>
    <row r="587" spans="1:12" x14ac:dyDescent="0.3">
      <c r="A587" t="s">
        <v>41</v>
      </c>
      <c r="B587">
        <v>30</v>
      </c>
      <c r="C587">
        <v>50000</v>
      </c>
      <c r="D587" t="s">
        <v>12</v>
      </c>
      <c r="E587" t="s">
        <v>33</v>
      </c>
      <c r="F587" t="s">
        <v>36</v>
      </c>
      <c r="G587">
        <v>2018</v>
      </c>
      <c r="H587" s="1">
        <v>43195</v>
      </c>
      <c r="I587" t="s">
        <v>15</v>
      </c>
      <c r="J587" t="s">
        <v>23</v>
      </c>
      <c r="K587">
        <v>1</v>
      </c>
      <c r="L587" t="str">
        <f>IF(AND(C587&gt; Sheet1!B593,K587&lt;3), "Misaligned","Aligned")</f>
        <v>Misaligned</v>
      </c>
    </row>
    <row r="588" spans="1:12" x14ac:dyDescent="0.3">
      <c r="A588" t="s">
        <v>31</v>
      </c>
      <c r="B588" t="s">
        <v>18</v>
      </c>
      <c r="C588">
        <v>55000</v>
      </c>
      <c r="D588" t="s">
        <v>32</v>
      </c>
      <c r="E588" t="s">
        <v>20</v>
      </c>
      <c r="F588" t="s">
        <v>40</v>
      </c>
      <c r="G588">
        <v>2020</v>
      </c>
      <c r="H588" s="1">
        <v>43881</v>
      </c>
      <c r="I588" t="s">
        <v>22</v>
      </c>
      <c r="J588" t="s">
        <v>16</v>
      </c>
      <c r="K588">
        <v>2</v>
      </c>
      <c r="L588" t="str">
        <f>IF(AND(C588&gt; Sheet1!B594,K588&lt;3), "Misaligned","Aligned")</f>
        <v>Misaligned</v>
      </c>
    </row>
    <row r="589" spans="1:12" x14ac:dyDescent="0.3">
      <c r="A589" t="s">
        <v>28</v>
      </c>
      <c r="B589" t="s">
        <v>18</v>
      </c>
      <c r="C589">
        <v>50000</v>
      </c>
      <c r="D589" t="s">
        <v>32</v>
      </c>
      <c r="E589" t="s">
        <v>20</v>
      </c>
      <c r="F589" t="s">
        <v>36</v>
      </c>
      <c r="G589">
        <v>2019</v>
      </c>
      <c r="H589" s="1">
        <v>43800</v>
      </c>
      <c r="I589" t="s">
        <v>37</v>
      </c>
      <c r="J589" t="s">
        <v>16</v>
      </c>
      <c r="K589">
        <v>2</v>
      </c>
      <c r="L589" t="str">
        <f>IF(AND(C589&gt; Sheet1!B595,K589&lt;3), "Misaligned","Aligned")</f>
        <v>Misaligned</v>
      </c>
    </row>
    <row r="590" spans="1:12" x14ac:dyDescent="0.3">
      <c r="A590" t="s">
        <v>41</v>
      </c>
      <c r="B590">
        <v>50</v>
      </c>
      <c r="C590">
        <v>50000</v>
      </c>
      <c r="D590" t="s">
        <v>12</v>
      </c>
      <c r="E590" t="s">
        <v>33</v>
      </c>
      <c r="F590" t="s">
        <v>14</v>
      </c>
      <c r="G590">
        <v>2020</v>
      </c>
      <c r="H590" s="1">
        <v>43845</v>
      </c>
      <c r="I590" t="s">
        <v>26</v>
      </c>
      <c r="J590" t="s">
        <v>30</v>
      </c>
      <c r="K590">
        <v>5</v>
      </c>
      <c r="L590" t="str">
        <f>IF(AND(C590&gt; Sheet1!B596,K590&lt;3), "Misaligned","Aligned")</f>
        <v>Aligned</v>
      </c>
    </row>
    <row r="591" spans="1:12" x14ac:dyDescent="0.3">
      <c r="A591" t="s">
        <v>28</v>
      </c>
      <c r="B591">
        <v>40</v>
      </c>
      <c r="C591">
        <v>60000</v>
      </c>
      <c r="D591" t="s">
        <v>12</v>
      </c>
      <c r="E591" t="s">
        <v>20</v>
      </c>
      <c r="F591" t="s">
        <v>40</v>
      </c>
      <c r="G591">
        <v>2018</v>
      </c>
      <c r="H591" s="1">
        <v>43195</v>
      </c>
      <c r="I591" t="s">
        <v>15</v>
      </c>
      <c r="J591" t="s">
        <v>30</v>
      </c>
      <c r="K591">
        <v>5</v>
      </c>
      <c r="L591" t="str">
        <f>IF(AND(C591&gt; Sheet1!B597,K591&lt;3), "Misaligned","Aligned")</f>
        <v>Aligned</v>
      </c>
    </row>
    <row r="592" spans="1:12" x14ac:dyDescent="0.3">
      <c r="A592" t="s">
        <v>28</v>
      </c>
      <c r="B592">
        <v>40</v>
      </c>
      <c r="C592" t="s">
        <v>18</v>
      </c>
      <c r="D592" t="s">
        <v>12</v>
      </c>
      <c r="E592" t="s">
        <v>25</v>
      </c>
      <c r="F592" t="s">
        <v>14</v>
      </c>
      <c r="G592">
        <v>2020</v>
      </c>
      <c r="H592" s="1">
        <v>43881</v>
      </c>
      <c r="I592" t="s">
        <v>22</v>
      </c>
      <c r="J592" t="s">
        <v>30</v>
      </c>
      <c r="K592">
        <v>5</v>
      </c>
      <c r="L592" t="str">
        <f>IF(AND(C592&gt; Sheet1!B598,K592&lt;3), "Misaligned","Aligned")</f>
        <v>Aligned</v>
      </c>
    </row>
    <row r="593" spans="1:12" x14ac:dyDescent="0.3">
      <c r="A593" t="s">
        <v>17</v>
      </c>
      <c r="B593">
        <v>50</v>
      </c>
      <c r="C593">
        <v>65000</v>
      </c>
      <c r="D593" t="s">
        <v>12</v>
      </c>
      <c r="E593" t="s">
        <v>13</v>
      </c>
      <c r="F593" t="s">
        <v>40</v>
      </c>
      <c r="G593">
        <v>2020</v>
      </c>
      <c r="H593" s="1">
        <v>43845</v>
      </c>
      <c r="I593" t="s">
        <v>26</v>
      </c>
      <c r="J593" t="s">
        <v>27</v>
      </c>
      <c r="K593">
        <v>3</v>
      </c>
      <c r="L593" t="str">
        <f>IF(AND(C593&gt; Sheet1!B599,K593&lt;3), "Misaligned","Aligned")</f>
        <v>Aligned</v>
      </c>
    </row>
    <row r="594" spans="1:12" x14ac:dyDescent="0.3">
      <c r="A594" t="s">
        <v>35</v>
      </c>
      <c r="B594" t="s">
        <v>18</v>
      </c>
      <c r="C594">
        <v>55000</v>
      </c>
      <c r="D594" t="s">
        <v>12</v>
      </c>
      <c r="E594" t="s">
        <v>13</v>
      </c>
      <c r="F594" t="s">
        <v>39</v>
      </c>
      <c r="G594">
        <v>2019</v>
      </c>
      <c r="H594" s="1">
        <v>43549</v>
      </c>
      <c r="I594" t="s">
        <v>34</v>
      </c>
      <c r="J594" t="s">
        <v>30</v>
      </c>
      <c r="K594">
        <v>5</v>
      </c>
      <c r="L594" t="str">
        <f>IF(AND(C594&gt; Sheet1!B600,K594&lt;3), "Misaligned","Aligned")</f>
        <v>Aligned</v>
      </c>
    </row>
    <row r="595" spans="1:12" x14ac:dyDescent="0.3">
      <c r="A595" t="s">
        <v>35</v>
      </c>
      <c r="B595" t="s">
        <v>18</v>
      </c>
      <c r="C595">
        <v>50000</v>
      </c>
      <c r="D595" t="s">
        <v>12</v>
      </c>
      <c r="E595" t="s">
        <v>13</v>
      </c>
      <c r="F595" t="s">
        <v>39</v>
      </c>
      <c r="G595">
        <v>2020</v>
      </c>
      <c r="H595" s="1">
        <v>43881</v>
      </c>
      <c r="I595" t="s">
        <v>22</v>
      </c>
      <c r="J595" t="s">
        <v>23</v>
      </c>
      <c r="K595">
        <v>1</v>
      </c>
      <c r="L595" t="str">
        <f>IF(AND(C595&gt; Sheet1!B601,K595&lt;3), "Misaligned","Aligned")</f>
        <v>Misaligned</v>
      </c>
    </row>
    <row r="596" spans="1:12" x14ac:dyDescent="0.3">
      <c r="A596" t="s">
        <v>17</v>
      </c>
      <c r="B596" t="s">
        <v>18</v>
      </c>
      <c r="C596">
        <v>55000</v>
      </c>
      <c r="D596" t="s">
        <v>32</v>
      </c>
      <c r="E596" t="s">
        <v>20</v>
      </c>
      <c r="F596" t="s">
        <v>39</v>
      </c>
      <c r="G596">
        <v>2020</v>
      </c>
      <c r="H596" s="1">
        <v>43845</v>
      </c>
      <c r="I596" t="s">
        <v>26</v>
      </c>
      <c r="J596" t="s">
        <v>16</v>
      </c>
      <c r="K596">
        <v>2</v>
      </c>
      <c r="L596" t="str">
        <f>IF(AND(C596&gt; Sheet1!B602,K596&lt;3), "Misaligned","Aligned")</f>
        <v>Misaligned</v>
      </c>
    </row>
    <row r="597" spans="1:12" x14ac:dyDescent="0.3">
      <c r="A597" t="s">
        <v>44</v>
      </c>
      <c r="B597">
        <v>30</v>
      </c>
      <c r="C597" t="s">
        <v>18</v>
      </c>
      <c r="D597" t="s">
        <v>32</v>
      </c>
      <c r="E597" t="s">
        <v>20</v>
      </c>
      <c r="F597" t="s">
        <v>14</v>
      </c>
      <c r="G597">
        <v>2019</v>
      </c>
      <c r="H597" s="1">
        <v>43800</v>
      </c>
      <c r="I597" t="s">
        <v>37</v>
      </c>
      <c r="J597" t="s">
        <v>23</v>
      </c>
      <c r="K597">
        <v>1</v>
      </c>
      <c r="L597" t="str">
        <f>IF(AND(C597&gt; Sheet1!B603,K597&lt;3), "Misaligned","Aligned")</f>
        <v>Misaligned</v>
      </c>
    </row>
    <row r="598" spans="1:12" x14ac:dyDescent="0.3">
      <c r="A598" t="s">
        <v>42</v>
      </c>
      <c r="B598" t="s">
        <v>18</v>
      </c>
      <c r="C598">
        <v>65000</v>
      </c>
      <c r="D598" t="s">
        <v>19</v>
      </c>
      <c r="E598" t="s">
        <v>29</v>
      </c>
      <c r="F598" t="s">
        <v>21</v>
      </c>
      <c r="G598">
        <v>2019</v>
      </c>
      <c r="H598" s="1">
        <v>43549</v>
      </c>
      <c r="I598" t="s">
        <v>34</v>
      </c>
      <c r="J598" t="s">
        <v>30</v>
      </c>
      <c r="K598">
        <v>5</v>
      </c>
      <c r="L598" t="str">
        <f>IF(AND(C598&gt; Sheet1!B604,K598&lt;3), "Misaligned","Aligned")</f>
        <v>Aligned</v>
      </c>
    </row>
    <row r="599" spans="1:12" x14ac:dyDescent="0.3">
      <c r="A599" t="s">
        <v>44</v>
      </c>
      <c r="B599">
        <v>35</v>
      </c>
      <c r="C599" t="s">
        <v>18</v>
      </c>
      <c r="D599" t="s">
        <v>32</v>
      </c>
      <c r="E599" t="s">
        <v>29</v>
      </c>
      <c r="F599" t="s">
        <v>40</v>
      </c>
      <c r="G599">
        <v>2019</v>
      </c>
      <c r="H599" s="1">
        <v>43800</v>
      </c>
      <c r="I599" t="s">
        <v>37</v>
      </c>
      <c r="J599" t="s">
        <v>27</v>
      </c>
      <c r="K599">
        <v>3</v>
      </c>
      <c r="L599" t="str">
        <f>IF(AND(C599&gt; Sheet1!B605,K599&lt;3), "Misaligned","Aligned")</f>
        <v>Aligned</v>
      </c>
    </row>
    <row r="600" spans="1:12" x14ac:dyDescent="0.3">
      <c r="A600" t="s">
        <v>43</v>
      </c>
      <c r="B600">
        <v>25</v>
      </c>
      <c r="C600">
        <v>65000</v>
      </c>
      <c r="D600" t="s">
        <v>32</v>
      </c>
      <c r="E600" t="s">
        <v>13</v>
      </c>
      <c r="F600" t="s">
        <v>39</v>
      </c>
      <c r="G600">
        <v>2020</v>
      </c>
      <c r="H600" s="1">
        <v>43845</v>
      </c>
      <c r="I600" t="s">
        <v>26</v>
      </c>
      <c r="J600" t="s">
        <v>27</v>
      </c>
      <c r="K600">
        <v>3</v>
      </c>
      <c r="L600" t="str">
        <f>IF(AND(C600&gt; Sheet1!B606,K600&lt;3), "Misaligned","Aligned")</f>
        <v>Aligned</v>
      </c>
    </row>
    <row r="601" spans="1:12" x14ac:dyDescent="0.3">
      <c r="A601" t="s">
        <v>43</v>
      </c>
      <c r="B601" t="s">
        <v>18</v>
      </c>
      <c r="C601">
        <v>70000</v>
      </c>
      <c r="D601" t="s">
        <v>12</v>
      </c>
      <c r="E601" t="s">
        <v>25</v>
      </c>
      <c r="F601" t="s">
        <v>40</v>
      </c>
      <c r="G601">
        <v>2019</v>
      </c>
      <c r="H601" s="1">
        <v>43800</v>
      </c>
      <c r="I601" t="s">
        <v>37</v>
      </c>
      <c r="J601" t="s">
        <v>16</v>
      </c>
      <c r="K601">
        <v>2</v>
      </c>
      <c r="L601" t="str">
        <f>IF(AND(C601&gt; Sheet1!B607,K601&lt;3), "Misaligned","Aligned")</f>
        <v>Misaligned</v>
      </c>
    </row>
    <row r="602" spans="1:12" x14ac:dyDescent="0.3">
      <c r="A602" t="s">
        <v>28</v>
      </c>
      <c r="B602">
        <v>50</v>
      </c>
      <c r="C602">
        <v>65000</v>
      </c>
      <c r="D602" t="s">
        <v>12</v>
      </c>
      <c r="E602" t="s">
        <v>29</v>
      </c>
      <c r="F602" t="s">
        <v>14</v>
      </c>
      <c r="G602">
        <v>2020</v>
      </c>
      <c r="H602" s="1">
        <v>43845</v>
      </c>
      <c r="I602" t="s">
        <v>26</v>
      </c>
      <c r="J602" t="s">
        <v>23</v>
      </c>
      <c r="K602">
        <v>1</v>
      </c>
      <c r="L602" t="str">
        <f>IF(AND(C602&gt; Sheet1!B608,K602&lt;3), "Misaligned","Aligned")</f>
        <v>Misaligned</v>
      </c>
    </row>
    <row r="603" spans="1:12" x14ac:dyDescent="0.3">
      <c r="A603" t="s">
        <v>41</v>
      </c>
      <c r="B603">
        <v>25</v>
      </c>
      <c r="C603">
        <v>60000</v>
      </c>
      <c r="D603" t="s">
        <v>32</v>
      </c>
      <c r="E603" t="s">
        <v>29</v>
      </c>
      <c r="F603" t="s">
        <v>21</v>
      </c>
      <c r="G603">
        <v>2020</v>
      </c>
      <c r="H603" s="1">
        <v>43845</v>
      </c>
      <c r="I603" t="s">
        <v>26</v>
      </c>
      <c r="J603" t="s">
        <v>38</v>
      </c>
      <c r="K603">
        <v>4</v>
      </c>
      <c r="L603" t="str">
        <f>IF(AND(C603&gt; Sheet1!B609,K603&lt;3), "Misaligned","Aligned")</f>
        <v>Aligned</v>
      </c>
    </row>
    <row r="604" spans="1:12" x14ac:dyDescent="0.3">
      <c r="A604" t="s">
        <v>41</v>
      </c>
      <c r="B604">
        <v>30</v>
      </c>
      <c r="C604" t="s">
        <v>18</v>
      </c>
      <c r="D604" t="s">
        <v>19</v>
      </c>
      <c r="E604" t="s">
        <v>20</v>
      </c>
      <c r="F604" t="s">
        <v>14</v>
      </c>
      <c r="G604">
        <v>2019</v>
      </c>
      <c r="H604" s="1">
        <v>43800</v>
      </c>
      <c r="I604" t="s">
        <v>37</v>
      </c>
      <c r="J604" t="s">
        <v>23</v>
      </c>
      <c r="K604">
        <v>1</v>
      </c>
      <c r="L604" t="str">
        <f>IF(AND(C604&gt; Sheet1!B610,K604&lt;3), "Misaligned","Aligned")</f>
        <v>Misaligned</v>
      </c>
    </row>
    <row r="605" spans="1:12" x14ac:dyDescent="0.3">
      <c r="A605" t="s">
        <v>35</v>
      </c>
      <c r="B605">
        <v>50</v>
      </c>
      <c r="C605">
        <v>50000</v>
      </c>
      <c r="D605" t="s">
        <v>12</v>
      </c>
      <c r="E605" t="s">
        <v>25</v>
      </c>
      <c r="F605" t="s">
        <v>40</v>
      </c>
      <c r="G605">
        <v>2020</v>
      </c>
      <c r="H605" s="1">
        <v>43845</v>
      </c>
      <c r="I605" t="s">
        <v>26</v>
      </c>
      <c r="J605" t="s">
        <v>30</v>
      </c>
      <c r="K605">
        <v>5</v>
      </c>
      <c r="L605" t="str">
        <f>IF(AND(C605&gt; Sheet1!B611,K605&lt;3), "Misaligned","Aligned")</f>
        <v>Aligned</v>
      </c>
    </row>
    <row r="606" spans="1:12" x14ac:dyDescent="0.3">
      <c r="A606" t="s">
        <v>11</v>
      </c>
      <c r="B606">
        <v>25</v>
      </c>
      <c r="C606">
        <v>70000</v>
      </c>
      <c r="D606" t="s">
        <v>32</v>
      </c>
      <c r="E606" t="s">
        <v>13</v>
      </c>
      <c r="F606" t="s">
        <v>21</v>
      </c>
      <c r="G606">
        <v>2020</v>
      </c>
      <c r="H606" s="1">
        <v>43881</v>
      </c>
      <c r="I606" t="s">
        <v>22</v>
      </c>
      <c r="J606" t="s">
        <v>38</v>
      </c>
      <c r="K606">
        <v>4</v>
      </c>
      <c r="L606" t="str">
        <f>IF(AND(C606&gt; Sheet1!B612,K606&lt;3), "Misaligned","Aligned")</f>
        <v>Aligned</v>
      </c>
    </row>
    <row r="607" spans="1:12" x14ac:dyDescent="0.3">
      <c r="A607" t="s">
        <v>44</v>
      </c>
      <c r="B607">
        <v>50</v>
      </c>
      <c r="C607">
        <v>60000</v>
      </c>
      <c r="D607" t="s">
        <v>32</v>
      </c>
      <c r="E607" t="s">
        <v>29</v>
      </c>
      <c r="F607" t="s">
        <v>21</v>
      </c>
      <c r="G607">
        <v>2020</v>
      </c>
      <c r="H607" s="1">
        <v>43845</v>
      </c>
      <c r="I607" t="s">
        <v>26</v>
      </c>
      <c r="J607" t="s">
        <v>27</v>
      </c>
      <c r="K607">
        <v>3</v>
      </c>
      <c r="L607" t="str">
        <f>IF(AND(C607&gt; Sheet1!B613,K607&lt;3), "Misaligned","Aligned")</f>
        <v>Aligned</v>
      </c>
    </row>
    <row r="608" spans="1:12" x14ac:dyDescent="0.3">
      <c r="A608" t="s">
        <v>31</v>
      </c>
      <c r="B608">
        <v>30</v>
      </c>
      <c r="C608">
        <v>55000</v>
      </c>
      <c r="D608" t="s">
        <v>19</v>
      </c>
      <c r="E608" t="s">
        <v>25</v>
      </c>
      <c r="F608" t="s">
        <v>14</v>
      </c>
      <c r="G608">
        <v>2018</v>
      </c>
      <c r="H608" s="1">
        <v>43195</v>
      </c>
      <c r="I608" t="s">
        <v>15</v>
      </c>
      <c r="J608" t="s">
        <v>16</v>
      </c>
      <c r="K608">
        <v>2</v>
      </c>
      <c r="L608" t="str">
        <f>IF(AND(C608&gt; Sheet1!B614,K608&lt;3), "Misaligned","Aligned")</f>
        <v>Misaligned</v>
      </c>
    </row>
    <row r="609" spans="1:12" x14ac:dyDescent="0.3">
      <c r="A609" t="s">
        <v>24</v>
      </c>
      <c r="B609">
        <v>35</v>
      </c>
      <c r="C609" t="s">
        <v>18</v>
      </c>
      <c r="D609" t="s">
        <v>19</v>
      </c>
      <c r="E609" t="s">
        <v>25</v>
      </c>
      <c r="F609" t="s">
        <v>39</v>
      </c>
      <c r="G609">
        <v>2020</v>
      </c>
      <c r="H609" s="1">
        <v>43845</v>
      </c>
      <c r="I609" t="s">
        <v>26</v>
      </c>
      <c r="J609" t="s">
        <v>16</v>
      </c>
      <c r="K609">
        <v>2</v>
      </c>
      <c r="L609" t="str">
        <f>IF(AND(C609&gt; Sheet1!B615,K609&lt;3), "Misaligned","Aligned")</f>
        <v>Misaligned</v>
      </c>
    </row>
    <row r="610" spans="1:12" x14ac:dyDescent="0.3">
      <c r="A610" t="s">
        <v>41</v>
      </c>
      <c r="B610">
        <v>30</v>
      </c>
      <c r="C610">
        <v>50000</v>
      </c>
      <c r="D610" t="s">
        <v>12</v>
      </c>
      <c r="E610" t="s">
        <v>13</v>
      </c>
      <c r="F610" t="s">
        <v>40</v>
      </c>
      <c r="G610">
        <v>2018</v>
      </c>
      <c r="H610" s="1">
        <v>43195</v>
      </c>
      <c r="I610" t="s">
        <v>15</v>
      </c>
      <c r="J610" t="s">
        <v>27</v>
      </c>
      <c r="K610">
        <v>3</v>
      </c>
      <c r="L610" t="str">
        <f>IF(AND(C610&gt; Sheet1!B616,K610&lt;3), "Misaligned","Aligned")</f>
        <v>Aligned</v>
      </c>
    </row>
    <row r="611" spans="1:12" x14ac:dyDescent="0.3">
      <c r="A611" t="s">
        <v>24</v>
      </c>
      <c r="B611">
        <v>30</v>
      </c>
      <c r="C611">
        <v>65000</v>
      </c>
      <c r="D611" t="s">
        <v>19</v>
      </c>
      <c r="E611" t="s">
        <v>25</v>
      </c>
      <c r="F611" t="s">
        <v>36</v>
      </c>
      <c r="G611">
        <v>2020</v>
      </c>
      <c r="H611" s="1">
        <v>43845</v>
      </c>
      <c r="I611" t="s">
        <v>26</v>
      </c>
      <c r="J611" t="s">
        <v>30</v>
      </c>
      <c r="K611">
        <v>5</v>
      </c>
      <c r="L611" t="str">
        <f>IF(AND(C611&gt; Sheet1!B617,K611&lt;3), "Misaligned","Aligned")</f>
        <v>Aligned</v>
      </c>
    </row>
    <row r="612" spans="1:12" x14ac:dyDescent="0.3">
      <c r="A612" t="s">
        <v>28</v>
      </c>
      <c r="B612">
        <v>50</v>
      </c>
      <c r="C612">
        <v>50000</v>
      </c>
      <c r="D612" t="s">
        <v>32</v>
      </c>
      <c r="E612" t="s">
        <v>25</v>
      </c>
      <c r="F612" t="s">
        <v>36</v>
      </c>
      <c r="G612">
        <v>2020</v>
      </c>
      <c r="H612" s="1">
        <v>43845</v>
      </c>
      <c r="I612" t="s">
        <v>26</v>
      </c>
      <c r="J612" t="s">
        <v>27</v>
      </c>
      <c r="K612">
        <v>3</v>
      </c>
      <c r="L612" t="str">
        <f>IF(AND(C612&gt; Sheet1!B618,K612&lt;3), "Misaligned","Aligned")</f>
        <v>Aligned</v>
      </c>
    </row>
    <row r="613" spans="1:12" x14ac:dyDescent="0.3">
      <c r="A613" t="s">
        <v>24</v>
      </c>
      <c r="B613">
        <v>40</v>
      </c>
      <c r="C613">
        <v>55000</v>
      </c>
      <c r="D613" t="s">
        <v>32</v>
      </c>
      <c r="E613" t="s">
        <v>25</v>
      </c>
      <c r="F613" t="s">
        <v>14</v>
      </c>
      <c r="G613">
        <v>2019</v>
      </c>
      <c r="H613" s="1">
        <v>43800</v>
      </c>
      <c r="I613" t="s">
        <v>37</v>
      </c>
      <c r="J613" t="s">
        <v>30</v>
      </c>
      <c r="K613">
        <v>5</v>
      </c>
      <c r="L613" t="str">
        <f>IF(AND(C613&gt; Sheet1!B619,K613&lt;3), "Misaligned","Aligned")</f>
        <v>Aligned</v>
      </c>
    </row>
    <row r="614" spans="1:12" x14ac:dyDescent="0.3">
      <c r="A614" t="s">
        <v>31</v>
      </c>
      <c r="B614" t="s">
        <v>18</v>
      </c>
      <c r="C614">
        <v>70000</v>
      </c>
      <c r="D614" t="s">
        <v>19</v>
      </c>
      <c r="E614" t="s">
        <v>29</v>
      </c>
      <c r="F614" t="s">
        <v>40</v>
      </c>
      <c r="G614">
        <v>2020</v>
      </c>
      <c r="H614" s="1">
        <v>43881</v>
      </c>
      <c r="I614" t="s">
        <v>22</v>
      </c>
      <c r="J614" t="s">
        <v>38</v>
      </c>
      <c r="K614">
        <v>4</v>
      </c>
      <c r="L614" t="str">
        <f>IF(AND(C614&gt; Sheet1!B620,K614&lt;3), "Misaligned","Aligned")</f>
        <v>Aligned</v>
      </c>
    </row>
    <row r="615" spans="1:12" x14ac:dyDescent="0.3">
      <c r="A615" t="s">
        <v>17</v>
      </c>
      <c r="B615" t="s">
        <v>18</v>
      </c>
      <c r="C615">
        <v>70000</v>
      </c>
      <c r="D615" t="s">
        <v>19</v>
      </c>
      <c r="E615" t="s">
        <v>13</v>
      </c>
      <c r="F615" t="s">
        <v>40</v>
      </c>
      <c r="G615">
        <v>2020</v>
      </c>
      <c r="H615" s="1">
        <v>43881</v>
      </c>
      <c r="I615" t="s">
        <v>22</v>
      </c>
      <c r="J615" t="s">
        <v>27</v>
      </c>
      <c r="K615">
        <v>3</v>
      </c>
      <c r="L615" t="str">
        <f>IF(AND(C615&gt; Sheet1!B621,K615&lt;3), "Misaligned","Aligned")</f>
        <v>Aligned</v>
      </c>
    </row>
    <row r="616" spans="1:12" x14ac:dyDescent="0.3">
      <c r="A616" t="s">
        <v>31</v>
      </c>
      <c r="B616">
        <v>35</v>
      </c>
      <c r="C616" t="s">
        <v>18</v>
      </c>
      <c r="D616" t="s">
        <v>19</v>
      </c>
      <c r="E616" t="s">
        <v>25</v>
      </c>
      <c r="F616" t="s">
        <v>14</v>
      </c>
      <c r="G616">
        <v>2019</v>
      </c>
      <c r="H616" s="1">
        <v>43549</v>
      </c>
      <c r="I616" t="s">
        <v>34</v>
      </c>
      <c r="J616" t="s">
        <v>30</v>
      </c>
      <c r="K616">
        <v>5</v>
      </c>
      <c r="L616" t="str">
        <f>IF(AND(C616&gt; Sheet1!B622,K616&lt;3), "Misaligned","Aligned")</f>
        <v>Aligned</v>
      </c>
    </row>
    <row r="617" spans="1:12" x14ac:dyDescent="0.3">
      <c r="A617" t="s">
        <v>24</v>
      </c>
      <c r="B617">
        <v>35</v>
      </c>
      <c r="C617">
        <v>70000</v>
      </c>
      <c r="D617" t="s">
        <v>19</v>
      </c>
      <c r="E617" t="s">
        <v>25</v>
      </c>
      <c r="F617" t="s">
        <v>40</v>
      </c>
      <c r="G617">
        <v>2019</v>
      </c>
      <c r="H617" s="1">
        <v>43800</v>
      </c>
      <c r="I617" t="s">
        <v>37</v>
      </c>
      <c r="J617" t="s">
        <v>38</v>
      </c>
      <c r="K617">
        <v>4</v>
      </c>
      <c r="L617" t="str">
        <f>IF(AND(C617&gt; Sheet1!B623,K617&lt;3), "Misaligned","Aligned")</f>
        <v>Aligned</v>
      </c>
    </row>
    <row r="618" spans="1:12" x14ac:dyDescent="0.3">
      <c r="A618" t="s">
        <v>31</v>
      </c>
      <c r="B618" t="s">
        <v>18</v>
      </c>
      <c r="C618" t="s">
        <v>18</v>
      </c>
      <c r="D618" t="s">
        <v>12</v>
      </c>
      <c r="E618" t="s">
        <v>29</v>
      </c>
      <c r="F618" t="s">
        <v>39</v>
      </c>
      <c r="G618">
        <v>2019</v>
      </c>
      <c r="H618" s="1">
        <v>43800</v>
      </c>
      <c r="I618" t="s">
        <v>37</v>
      </c>
      <c r="J618" t="s">
        <v>27</v>
      </c>
      <c r="K618">
        <v>3</v>
      </c>
      <c r="L618" t="str">
        <f>IF(AND(C618&gt; Sheet1!B624,K618&lt;3), "Misaligned","Aligned")</f>
        <v>Aligned</v>
      </c>
    </row>
    <row r="619" spans="1:12" x14ac:dyDescent="0.3">
      <c r="A619" t="s">
        <v>42</v>
      </c>
      <c r="B619">
        <v>40</v>
      </c>
      <c r="C619" t="s">
        <v>18</v>
      </c>
      <c r="D619" t="s">
        <v>19</v>
      </c>
      <c r="E619" t="s">
        <v>13</v>
      </c>
      <c r="F619" t="s">
        <v>14</v>
      </c>
      <c r="G619">
        <v>2020</v>
      </c>
      <c r="H619" s="1">
        <v>43881</v>
      </c>
      <c r="I619" t="s">
        <v>22</v>
      </c>
      <c r="J619" t="s">
        <v>16</v>
      </c>
      <c r="K619">
        <v>2</v>
      </c>
      <c r="L619" t="str">
        <f>IF(AND(C619&gt; Sheet1!B625,K619&lt;3), "Misaligned","Aligned")</f>
        <v>Misaligned</v>
      </c>
    </row>
    <row r="620" spans="1:12" x14ac:dyDescent="0.3">
      <c r="A620" t="s">
        <v>28</v>
      </c>
      <c r="B620" t="s">
        <v>18</v>
      </c>
      <c r="C620" t="s">
        <v>18</v>
      </c>
      <c r="D620" t="s">
        <v>12</v>
      </c>
      <c r="E620" t="s">
        <v>20</v>
      </c>
      <c r="F620" t="s">
        <v>39</v>
      </c>
      <c r="G620">
        <v>2019</v>
      </c>
      <c r="H620" s="1">
        <v>43800</v>
      </c>
      <c r="I620" t="s">
        <v>37</v>
      </c>
      <c r="J620" t="s">
        <v>27</v>
      </c>
      <c r="K620">
        <v>3</v>
      </c>
      <c r="L620" t="str">
        <f>IF(AND(C620&gt; Sheet1!B626,K620&lt;3), "Misaligned","Aligned")</f>
        <v>Aligned</v>
      </c>
    </row>
    <row r="621" spans="1:12" x14ac:dyDescent="0.3">
      <c r="A621" t="s">
        <v>44</v>
      </c>
      <c r="B621">
        <v>40</v>
      </c>
      <c r="C621">
        <v>65000</v>
      </c>
      <c r="D621" t="s">
        <v>32</v>
      </c>
      <c r="E621" t="s">
        <v>29</v>
      </c>
      <c r="F621" t="s">
        <v>40</v>
      </c>
      <c r="G621">
        <v>2020</v>
      </c>
      <c r="H621" s="1">
        <v>43881</v>
      </c>
      <c r="I621" t="s">
        <v>22</v>
      </c>
      <c r="J621" t="s">
        <v>23</v>
      </c>
      <c r="K621">
        <v>1</v>
      </c>
      <c r="L621" t="str">
        <f>IF(AND(C621&gt; Sheet1!B627,K621&lt;3), "Misaligned","Aligned")</f>
        <v>Misaligned</v>
      </c>
    </row>
    <row r="622" spans="1:12" x14ac:dyDescent="0.3">
      <c r="A622" t="s">
        <v>17</v>
      </c>
      <c r="B622">
        <v>35</v>
      </c>
      <c r="C622">
        <v>60000</v>
      </c>
      <c r="D622" t="s">
        <v>19</v>
      </c>
      <c r="E622" t="s">
        <v>13</v>
      </c>
      <c r="F622" t="s">
        <v>14</v>
      </c>
      <c r="G622">
        <v>2019</v>
      </c>
      <c r="H622" s="1">
        <v>43800</v>
      </c>
      <c r="I622" t="s">
        <v>37</v>
      </c>
      <c r="J622" t="s">
        <v>27</v>
      </c>
      <c r="K622">
        <v>3</v>
      </c>
      <c r="L622" t="str">
        <f>IF(AND(C622&gt; Sheet1!B628,K622&lt;3), "Misaligned","Aligned")</f>
        <v>Aligned</v>
      </c>
    </row>
    <row r="623" spans="1:12" x14ac:dyDescent="0.3">
      <c r="A623" t="s">
        <v>41</v>
      </c>
      <c r="B623">
        <v>25</v>
      </c>
      <c r="C623" t="s">
        <v>18</v>
      </c>
      <c r="D623" t="s">
        <v>12</v>
      </c>
      <c r="E623" t="s">
        <v>25</v>
      </c>
      <c r="F623" t="s">
        <v>40</v>
      </c>
      <c r="G623">
        <v>2020</v>
      </c>
      <c r="H623" s="1">
        <v>43845</v>
      </c>
      <c r="I623" t="s">
        <v>26</v>
      </c>
      <c r="J623" t="s">
        <v>23</v>
      </c>
      <c r="K623">
        <v>1</v>
      </c>
      <c r="L623" t="str">
        <f>IF(AND(C623&gt; Sheet1!B629,K623&lt;3), "Misaligned","Aligned")</f>
        <v>Misaligned</v>
      </c>
    </row>
    <row r="624" spans="1:12" x14ac:dyDescent="0.3">
      <c r="A624" t="s">
        <v>43</v>
      </c>
      <c r="B624">
        <v>50</v>
      </c>
      <c r="C624" t="s">
        <v>18</v>
      </c>
      <c r="D624" t="s">
        <v>19</v>
      </c>
      <c r="E624" t="s">
        <v>13</v>
      </c>
      <c r="F624" t="s">
        <v>14</v>
      </c>
      <c r="G624">
        <v>2020</v>
      </c>
      <c r="H624" s="1">
        <v>43881</v>
      </c>
      <c r="I624" t="s">
        <v>22</v>
      </c>
      <c r="J624" t="s">
        <v>38</v>
      </c>
      <c r="K624">
        <v>4</v>
      </c>
      <c r="L624" t="str">
        <f>IF(AND(C624&gt; Sheet1!B630,K624&lt;3), "Misaligned","Aligned")</f>
        <v>Aligned</v>
      </c>
    </row>
    <row r="625" spans="1:12" x14ac:dyDescent="0.3">
      <c r="A625" t="s">
        <v>44</v>
      </c>
      <c r="B625">
        <v>35</v>
      </c>
      <c r="C625">
        <v>60000</v>
      </c>
      <c r="D625" t="s">
        <v>32</v>
      </c>
      <c r="E625" t="s">
        <v>13</v>
      </c>
      <c r="F625" t="s">
        <v>40</v>
      </c>
      <c r="G625">
        <v>2020</v>
      </c>
      <c r="H625" s="1">
        <v>43881</v>
      </c>
      <c r="I625" t="s">
        <v>22</v>
      </c>
      <c r="J625" t="s">
        <v>27</v>
      </c>
      <c r="K625">
        <v>3</v>
      </c>
      <c r="L625" t="str">
        <f>IF(AND(C625&gt; Sheet1!B631,K625&lt;3), "Misaligned","Aligned")</f>
        <v>Aligned</v>
      </c>
    </row>
    <row r="626" spans="1:12" x14ac:dyDescent="0.3">
      <c r="A626" t="s">
        <v>43</v>
      </c>
      <c r="B626">
        <v>35</v>
      </c>
      <c r="C626">
        <v>50000</v>
      </c>
      <c r="D626" t="s">
        <v>32</v>
      </c>
      <c r="E626" t="s">
        <v>13</v>
      </c>
      <c r="F626" t="s">
        <v>39</v>
      </c>
      <c r="G626">
        <v>2018</v>
      </c>
      <c r="H626" s="1">
        <v>43195</v>
      </c>
      <c r="I626" t="s">
        <v>15</v>
      </c>
      <c r="J626" t="s">
        <v>38</v>
      </c>
      <c r="K626">
        <v>4</v>
      </c>
      <c r="L626" t="str">
        <f>IF(AND(C626&gt; Sheet1!B632,K626&lt;3), "Misaligned","Aligned")</f>
        <v>Aligned</v>
      </c>
    </row>
    <row r="627" spans="1:12" x14ac:dyDescent="0.3">
      <c r="A627" t="s">
        <v>28</v>
      </c>
      <c r="B627">
        <v>30</v>
      </c>
      <c r="C627" t="s">
        <v>18</v>
      </c>
      <c r="D627" t="s">
        <v>32</v>
      </c>
      <c r="E627" t="s">
        <v>20</v>
      </c>
      <c r="F627" t="s">
        <v>39</v>
      </c>
      <c r="G627">
        <v>2019</v>
      </c>
      <c r="H627" s="1">
        <v>43800</v>
      </c>
      <c r="I627" t="s">
        <v>37</v>
      </c>
      <c r="J627" t="s">
        <v>38</v>
      </c>
      <c r="K627">
        <v>4</v>
      </c>
      <c r="L627" t="str">
        <f>IF(AND(C627&gt; Sheet1!B633,K627&lt;3), "Misaligned","Aligned")</f>
        <v>Aligned</v>
      </c>
    </row>
    <row r="628" spans="1:12" x14ac:dyDescent="0.3">
      <c r="A628" t="s">
        <v>17</v>
      </c>
      <c r="B628">
        <v>30</v>
      </c>
      <c r="C628">
        <v>65000</v>
      </c>
      <c r="D628" t="s">
        <v>19</v>
      </c>
      <c r="E628" t="s">
        <v>13</v>
      </c>
      <c r="F628" t="s">
        <v>40</v>
      </c>
      <c r="G628">
        <v>2019</v>
      </c>
      <c r="H628" s="1">
        <v>43800</v>
      </c>
      <c r="I628" t="s">
        <v>37</v>
      </c>
      <c r="J628" t="s">
        <v>30</v>
      </c>
      <c r="K628">
        <v>5</v>
      </c>
      <c r="L628" t="str">
        <f>IF(AND(C628&gt; Sheet1!B634,K628&lt;3), "Misaligned","Aligned")</f>
        <v>Aligned</v>
      </c>
    </row>
    <row r="629" spans="1:12" x14ac:dyDescent="0.3">
      <c r="A629" t="s">
        <v>35</v>
      </c>
      <c r="B629">
        <v>30</v>
      </c>
      <c r="C629">
        <v>70000</v>
      </c>
      <c r="D629" t="s">
        <v>19</v>
      </c>
      <c r="E629" t="s">
        <v>20</v>
      </c>
      <c r="F629" t="s">
        <v>14</v>
      </c>
      <c r="G629">
        <v>2020</v>
      </c>
      <c r="H629" s="1">
        <v>43881</v>
      </c>
      <c r="I629" t="s">
        <v>22</v>
      </c>
      <c r="J629" t="s">
        <v>38</v>
      </c>
      <c r="K629">
        <v>4</v>
      </c>
      <c r="L629" t="str">
        <f>IF(AND(C629&gt; Sheet1!B635,K629&lt;3), "Misaligned","Aligned")</f>
        <v>Aligned</v>
      </c>
    </row>
    <row r="630" spans="1:12" x14ac:dyDescent="0.3">
      <c r="A630" t="s">
        <v>41</v>
      </c>
      <c r="B630">
        <v>50</v>
      </c>
      <c r="C630">
        <v>70000</v>
      </c>
      <c r="D630" t="s">
        <v>12</v>
      </c>
      <c r="E630" t="s">
        <v>25</v>
      </c>
      <c r="F630" t="s">
        <v>36</v>
      </c>
      <c r="G630">
        <v>2020</v>
      </c>
      <c r="H630" s="1">
        <v>43845</v>
      </c>
      <c r="I630" t="s">
        <v>26</v>
      </c>
      <c r="J630" t="s">
        <v>38</v>
      </c>
      <c r="K630">
        <v>4</v>
      </c>
      <c r="L630" t="str">
        <f>IF(AND(C630&gt; Sheet1!B636,K630&lt;3), "Misaligned","Aligned")</f>
        <v>Aligned</v>
      </c>
    </row>
    <row r="631" spans="1:12" x14ac:dyDescent="0.3">
      <c r="A631" t="s">
        <v>42</v>
      </c>
      <c r="B631">
        <v>30</v>
      </c>
      <c r="C631">
        <v>55000</v>
      </c>
      <c r="D631" t="s">
        <v>32</v>
      </c>
      <c r="E631" t="s">
        <v>20</v>
      </c>
      <c r="F631" t="s">
        <v>39</v>
      </c>
      <c r="G631">
        <v>2020</v>
      </c>
      <c r="H631" s="1">
        <v>43845</v>
      </c>
      <c r="I631" t="s">
        <v>26</v>
      </c>
      <c r="J631" t="s">
        <v>27</v>
      </c>
      <c r="K631">
        <v>3</v>
      </c>
      <c r="L631" t="str">
        <f>IF(AND(C631&gt; Sheet1!B637,K631&lt;3), "Misaligned","Aligned")</f>
        <v>Aligned</v>
      </c>
    </row>
    <row r="632" spans="1:12" x14ac:dyDescent="0.3">
      <c r="A632" t="s">
        <v>35</v>
      </c>
      <c r="B632">
        <v>40</v>
      </c>
      <c r="C632">
        <v>55000</v>
      </c>
      <c r="D632" t="s">
        <v>19</v>
      </c>
      <c r="E632" t="s">
        <v>25</v>
      </c>
      <c r="F632" t="s">
        <v>39</v>
      </c>
      <c r="G632">
        <v>2020</v>
      </c>
      <c r="H632" s="1">
        <v>43845</v>
      </c>
      <c r="I632" t="s">
        <v>26</v>
      </c>
      <c r="J632" t="s">
        <v>27</v>
      </c>
      <c r="K632">
        <v>3</v>
      </c>
      <c r="L632" t="str">
        <f>IF(AND(C632&gt; Sheet1!B638,K632&lt;3), "Misaligned","Aligned")</f>
        <v>Aligned</v>
      </c>
    </row>
    <row r="633" spans="1:12" x14ac:dyDescent="0.3">
      <c r="A633" t="s">
        <v>28</v>
      </c>
      <c r="B633" t="s">
        <v>18</v>
      </c>
      <c r="C633">
        <v>70000</v>
      </c>
      <c r="D633" t="s">
        <v>32</v>
      </c>
      <c r="E633" t="s">
        <v>25</v>
      </c>
      <c r="F633" t="s">
        <v>36</v>
      </c>
      <c r="G633">
        <v>2019</v>
      </c>
      <c r="H633" s="1">
        <v>43800</v>
      </c>
      <c r="I633" t="s">
        <v>37</v>
      </c>
      <c r="J633" t="s">
        <v>16</v>
      </c>
      <c r="K633">
        <v>2</v>
      </c>
      <c r="L633" t="str">
        <f>IF(AND(C633&gt; Sheet1!B639,K633&lt;3), "Misaligned","Aligned")</f>
        <v>Misaligned</v>
      </c>
    </row>
    <row r="634" spans="1:12" x14ac:dyDescent="0.3">
      <c r="A634" t="s">
        <v>44</v>
      </c>
      <c r="B634">
        <v>25</v>
      </c>
      <c r="C634">
        <v>70000</v>
      </c>
      <c r="D634" t="s">
        <v>32</v>
      </c>
      <c r="E634" t="s">
        <v>20</v>
      </c>
      <c r="F634" t="s">
        <v>40</v>
      </c>
      <c r="G634">
        <v>2018</v>
      </c>
      <c r="H634" s="1">
        <v>43195</v>
      </c>
      <c r="I634" t="s">
        <v>15</v>
      </c>
      <c r="J634" t="s">
        <v>30</v>
      </c>
      <c r="K634">
        <v>5</v>
      </c>
      <c r="L634" t="str">
        <f>IF(AND(C634&gt; Sheet1!B640,K634&lt;3), "Misaligned","Aligned")</f>
        <v>Aligned</v>
      </c>
    </row>
    <row r="635" spans="1:12" x14ac:dyDescent="0.3">
      <c r="A635" t="s">
        <v>42</v>
      </c>
      <c r="B635">
        <v>35</v>
      </c>
      <c r="C635">
        <v>65000</v>
      </c>
      <c r="D635" t="s">
        <v>12</v>
      </c>
      <c r="E635" t="s">
        <v>29</v>
      </c>
      <c r="F635" t="s">
        <v>14</v>
      </c>
      <c r="G635">
        <v>2020</v>
      </c>
      <c r="H635" s="1">
        <v>43881</v>
      </c>
      <c r="I635" t="s">
        <v>22</v>
      </c>
      <c r="J635" t="s">
        <v>38</v>
      </c>
      <c r="K635">
        <v>4</v>
      </c>
      <c r="L635" t="str">
        <f>IF(AND(C635&gt; Sheet1!B641,K635&lt;3), "Misaligned","Aligned")</f>
        <v>Aligned</v>
      </c>
    </row>
    <row r="636" spans="1:12" x14ac:dyDescent="0.3">
      <c r="A636" t="s">
        <v>31</v>
      </c>
      <c r="B636">
        <v>40</v>
      </c>
      <c r="C636">
        <v>60000</v>
      </c>
      <c r="D636" t="s">
        <v>12</v>
      </c>
      <c r="E636" t="s">
        <v>33</v>
      </c>
      <c r="F636" t="s">
        <v>40</v>
      </c>
      <c r="G636">
        <v>2019</v>
      </c>
      <c r="H636" s="1">
        <v>43549</v>
      </c>
      <c r="I636" t="s">
        <v>34</v>
      </c>
      <c r="J636" t="s">
        <v>30</v>
      </c>
      <c r="K636">
        <v>5</v>
      </c>
      <c r="L636" t="str">
        <f>IF(AND(C636&gt; Sheet1!B642,K636&lt;3), "Misaligned","Aligned")</f>
        <v>Aligned</v>
      </c>
    </row>
    <row r="637" spans="1:12" x14ac:dyDescent="0.3">
      <c r="A637" t="s">
        <v>24</v>
      </c>
      <c r="B637">
        <v>25</v>
      </c>
      <c r="C637">
        <v>55000</v>
      </c>
      <c r="D637" t="s">
        <v>12</v>
      </c>
      <c r="E637" t="s">
        <v>13</v>
      </c>
      <c r="F637" t="s">
        <v>21</v>
      </c>
      <c r="G637">
        <v>2018</v>
      </c>
      <c r="H637" s="1">
        <v>43195</v>
      </c>
      <c r="I637" t="s">
        <v>15</v>
      </c>
      <c r="J637" t="s">
        <v>23</v>
      </c>
      <c r="K637">
        <v>1</v>
      </c>
      <c r="L637" t="str">
        <f>IF(AND(C637&gt; Sheet1!B643,K637&lt;3), "Misaligned","Aligned")</f>
        <v>Misaligned</v>
      </c>
    </row>
    <row r="638" spans="1:12" x14ac:dyDescent="0.3">
      <c r="A638" t="s">
        <v>42</v>
      </c>
      <c r="B638">
        <v>40</v>
      </c>
      <c r="C638">
        <v>60000</v>
      </c>
      <c r="D638" t="s">
        <v>12</v>
      </c>
      <c r="E638" t="s">
        <v>33</v>
      </c>
      <c r="F638" t="s">
        <v>39</v>
      </c>
      <c r="G638">
        <v>2019</v>
      </c>
      <c r="H638" s="1">
        <v>43549</v>
      </c>
      <c r="I638" t="s">
        <v>34</v>
      </c>
      <c r="J638" t="s">
        <v>38</v>
      </c>
      <c r="K638">
        <v>4</v>
      </c>
      <c r="L638" t="str">
        <f>IF(AND(C638&gt; Sheet1!B644,K638&lt;3), "Misaligned","Aligned")</f>
        <v>Aligned</v>
      </c>
    </row>
    <row r="639" spans="1:12" x14ac:dyDescent="0.3">
      <c r="A639" t="s">
        <v>28</v>
      </c>
      <c r="B639">
        <v>40</v>
      </c>
      <c r="C639">
        <v>65000</v>
      </c>
      <c r="D639" t="s">
        <v>32</v>
      </c>
      <c r="E639" t="s">
        <v>13</v>
      </c>
      <c r="F639" t="s">
        <v>21</v>
      </c>
      <c r="G639">
        <v>2018</v>
      </c>
      <c r="H639" s="1">
        <v>43195</v>
      </c>
      <c r="I639" t="s">
        <v>15</v>
      </c>
      <c r="J639" t="s">
        <v>30</v>
      </c>
      <c r="K639">
        <v>5</v>
      </c>
      <c r="L639" t="str">
        <f>IF(AND(C639&gt; Sheet1!B645,K639&lt;3), "Misaligned","Aligned")</f>
        <v>Aligned</v>
      </c>
    </row>
    <row r="640" spans="1:12" x14ac:dyDescent="0.3">
      <c r="A640" t="s">
        <v>11</v>
      </c>
      <c r="B640">
        <v>35</v>
      </c>
      <c r="C640">
        <v>70000</v>
      </c>
      <c r="D640" t="s">
        <v>12</v>
      </c>
      <c r="E640" t="s">
        <v>13</v>
      </c>
      <c r="F640" t="s">
        <v>39</v>
      </c>
      <c r="G640">
        <v>2020</v>
      </c>
      <c r="H640" s="1">
        <v>43845</v>
      </c>
      <c r="I640" t="s">
        <v>26</v>
      </c>
      <c r="J640" t="s">
        <v>16</v>
      </c>
      <c r="K640">
        <v>2</v>
      </c>
      <c r="L640" t="str">
        <f>IF(AND(C640&gt; Sheet1!B646,K640&lt;3), "Misaligned","Aligned")</f>
        <v>Misaligned</v>
      </c>
    </row>
    <row r="641" spans="1:12" x14ac:dyDescent="0.3">
      <c r="A641" t="s">
        <v>24</v>
      </c>
      <c r="B641" t="s">
        <v>18</v>
      </c>
      <c r="C641" t="s">
        <v>18</v>
      </c>
      <c r="D641" t="s">
        <v>12</v>
      </c>
      <c r="E641" t="s">
        <v>25</v>
      </c>
      <c r="F641" t="s">
        <v>39</v>
      </c>
      <c r="G641">
        <v>2019</v>
      </c>
      <c r="H641" s="1">
        <v>43800</v>
      </c>
      <c r="I641" t="s">
        <v>37</v>
      </c>
      <c r="J641" t="s">
        <v>16</v>
      </c>
      <c r="K641">
        <v>2</v>
      </c>
      <c r="L641" t="str">
        <f>IF(AND(C641&gt; Sheet1!B647,K641&lt;3), "Misaligned","Aligned")</f>
        <v>Misaligned</v>
      </c>
    </row>
    <row r="642" spans="1:12" x14ac:dyDescent="0.3">
      <c r="A642" t="s">
        <v>43</v>
      </c>
      <c r="B642">
        <v>30</v>
      </c>
      <c r="C642">
        <v>60000</v>
      </c>
      <c r="D642" t="s">
        <v>12</v>
      </c>
      <c r="E642" t="s">
        <v>13</v>
      </c>
      <c r="F642" t="s">
        <v>21</v>
      </c>
      <c r="G642">
        <v>2019</v>
      </c>
      <c r="H642" s="1">
        <v>43549</v>
      </c>
      <c r="I642" t="s">
        <v>34</v>
      </c>
      <c r="J642" t="s">
        <v>38</v>
      </c>
      <c r="K642">
        <v>4</v>
      </c>
      <c r="L642" t="str">
        <f>IF(AND(C642&gt; Sheet1!B648,K642&lt;3), "Misaligned","Aligned")</f>
        <v>Aligned</v>
      </c>
    </row>
    <row r="643" spans="1:12" x14ac:dyDescent="0.3">
      <c r="A643" t="s">
        <v>41</v>
      </c>
      <c r="B643">
        <v>50</v>
      </c>
      <c r="C643">
        <v>70000</v>
      </c>
      <c r="D643" t="s">
        <v>12</v>
      </c>
      <c r="E643" t="s">
        <v>13</v>
      </c>
      <c r="F643" t="s">
        <v>21</v>
      </c>
      <c r="G643">
        <v>2018</v>
      </c>
      <c r="H643" s="1">
        <v>43195</v>
      </c>
      <c r="I643" t="s">
        <v>15</v>
      </c>
      <c r="J643" t="s">
        <v>23</v>
      </c>
      <c r="K643">
        <v>1</v>
      </c>
      <c r="L643" t="str">
        <f>IF(AND(C643&gt; Sheet1!B649,K643&lt;3), "Misaligned","Aligned")</f>
        <v>Misaligned</v>
      </c>
    </row>
    <row r="644" spans="1:12" x14ac:dyDescent="0.3">
      <c r="A644" t="s">
        <v>43</v>
      </c>
      <c r="B644" t="s">
        <v>18</v>
      </c>
      <c r="C644">
        <v>70000</v>
      </c>
      <c r="D644" t="s">
        <v>32</v>
      </c>
      <c r="E644" t="s">
        <v>20</v>
      </c>
      <c r="F644" t="s">
        <v>40</v>
      </c>
      <c r="G644">
        <v>2019</v>
      </c>
      <c r="H644" s="1">
        <v>43800</v>
      </c>
      <c r="I644" t="s">
        <v>37</v>
      </c>
      <c r="J644" t="s">
        <v>16</v>
      </c>
      <c r="K644">
        <v>2</v>
      </c>
      <c r="L644" t="str">
        <f>IF(AND(C644&gt; Sheet1!B650,K644&lt;3), "Misaligned","Aligned")</f>
        <v>Misaligned</v>
      </c>
    </row>
    <row r="645" spans="1:12" x14ac:dyDescent="0.3">
      <c r="A645" t="s">
        <v>42</v>
      </c>
      <c r="B645">
        <v>50</v>
      </c>
      <c r="C645">
        <v>50000</v>
      </c>
      <c r="D645" t="s">
        <v>12</v>
      </c>
      <c r="E645" t="s">
        <v>33</v>
      </c>
      <c r="F645" t="s">
        <v>21</v>
      </c>
      <c r="G645">
        <v>2019</v>
      </c>
      <c r="H645" s="1">
        <v>43549</v>
      </c>
      <c r="I645" t="s">
        <v>34</v>
      </c>
      <c r="J645" t="s">
        <v>16</v>
      </c>
      <c r="K645">
        <v>2</v>
      </c>
      <c r="L645" t="str">
        <f>IF(AND(C645&gt; Sheet1!B651,K645&lt;3), "Misaligned","Aligned")</f>
        <v>Misaligned</v>
      </c>
    </row>
    <row r="646" spans="1:12" x14ac:dyDescent="0.3">
      <c r="A646" t="s">
        <v>43</v>
      </c>
      <c r="B646">
        <v>35</v>
      </c>
      <c r="C646">
        <v>60000</v>
      </c>
      <c r="D646" t="s">
        <v>32</v>
      </c>
      <c r="E646" t="s">
        <v>20</v>
      </c>
      <c r="F646" t="s">
        <v>40</v>
      </c>
      <c r="G646">
        <v>2020</v>
      </c>
      <c r="H646" s="1">
        <v>43881</v>
      </c>
      <c r="I646" t="s">
        <v>22</v>
      </c>
      <c r="J646" t="s">
        <v>23</v>
      </c>
      <c r="K646">
        <v>1</v>
      </c>
      <c r="L646" t="str">
        <f>IF(AND(C646&gt; Sheet1!B652,K646&lt;3), "Misaligned","Aligned")</f>
        <v>Misaligned</v>
      </c>
    </row>
    <row r="647" spans="1:12" x14ac:dyDescent="0.3">
      <c r="A647" t="s">
        <v>28</v>
      </c>
      <c r="B647">
        <v>35</v>
      </c>
      <c r="C647" t="s">
        <v>18</v>
      </c>
      <c r="D647" t="s">
        <v>19</v>
      </c>
      <c r="E647" t="s">
        <v>13</v>
      </c>
      <c r="F647" t="s">
        <v>40</v>
      </c>
      <c r="G647">
        <v>2018</v>
      </c>
      <c r="H647" s="1">
        <v>43195</v>
      </c>
      <c r="I647" t="s">
        <v>15</v>
      </c>
      <c r="J647" t="s">
        <v>30</v>
      </c>
      <c r="K647">
        <v>5</v>
      </c>
      <c r="L647" t="str">
        <f>IF(AND(C647&gt; Sheet1!B653,K647&lt;3), "Misaligned","Aligned")</f>
        <v>Aligned</v>
      </c>
    </row>
    <row r="648" spans="1:12" x14ac:dyDescent="0.3">
      <c r="A648" t="s">
        <v>31</v>
      </c>
      <c r="B648">
        <v>35</v>
      </c>
      <c r="C648">
        <v>60000</v>
      </c>
      <c r="D648" t="s">
        <v>32</v>
      </c>
      <c r="E648" t="s">
        <v>25</v>
      </c>
      <c r="F648" t="s">
        <v>40</v>
      </c>
      <c r="G648">
        <v>2020</v>
      </c>
      <c r="H648" s="1">
        <v>43881</v>
      </c>
      <c r="I648" t="s">
        <v>22</v>
      </c>
      <c r="J648" t="s">
        <v>16</v>
      </c>
      <c r="K648">
        <v>2</v>
      </c>
      <c r="L648" t="str">
        <f>IF(AND(C648&gt; Sheet1!B654,K648&lt;3), "Misaligned","Aligned")</f>
        <v>Misaligned</v>
      </c>
    </row>
    <row r="649" spans="1:12" x14ac:dyDescent="0.3">
      <c r="A649" t="s">
        <v>44</v>
      </c>
      <c r="B649">
        <v>25</v>
      </c>
      <c r="C649">
        <v>70000</v>
      </c>
      <c r="D649" t="s">
        <v>32</v>
      </c>
      <c r="E649" t="s">
        <v>20</v>
      </c>
      <c r="F649" t="s">
        <v>39</v>
      </c>
      <c r="G649">
        <v>2020</v>
      </c>
      <c r="H649" s="1">
        <v>43845</v>
      </c>
      <c r="I649" t="s">
        <v>26</v>
      </c>
      <c r="J649" t="s">
        <v>27</v>
      </c>
      <c r="K649">
        <v>3</v>
      </c>
      <c r="L649" t="str">
        <f>IF(AND(C649&gt; Sheet1!B655,K649&lt;3), "Misaligned","Aligned")</f>
        <v>Aligned</v>
      </c>
    </row>
    <row r="650" spans="1:12" x14ac:dyDescent="0.3">
      <c r="A650" t="s">
        <v>41</v>
      </c>
      <c r="B650">
        <v>50</v>
      </c>
      <c r="C650" t="s">
        <v>18</v>
      </c>
      <c r="D650" t="s">
        <v>12</v>
      </c>
      <c r="E650" t="s">
        <v>20</v>
      </c>
      <c r="F650" t="s">
        <v>39</v>
      </c>
      <c r="G650">
        <v>2020</v>
      </c>
      <c r="H650" s="1">
        <v>43881</v>
      </c>
      <c r="I650" t="s">
        <v>22</v>
      </c>
      <c r="J650" t="s">
        <v>16</v>
      </c>
      <c r="K650">
        <v>2</v>
      </c>
      <c r="L650" t="str">
        <f>IF(AND(C650&gt; Sheet1!B656,K650&lt;3), "Misaligned","Aligned")</f>
        <v>Misaligned</v>
      </c>
    </row>
    <row r="651" spans="1:12" x14ac:dyDescent="0.3">
      <c r="A651" t="s">
        <v>43</v>
      </c>
      <c r="B651" t="s">
        <v>18</v>
      </c>
      <c r="C651">
        <v>65000</v>
      </c>
      <c r="D651" t="s">
        <v>19</v>
      </c>
      <c r="E651" t="s">
        <v>29</v>
      </c>
      <c r="F651" t="s">
        <v>21</v>
      </c>
      <c r="G651">
        <v>2020</v>
      </c>
      <c r="H651" s="1">
        <v>43881</v>
      </c>
      <c r="I651" t="s">
        <v>22</v>
      </c>
      <c r="J651" t="s">
        <v>30</v>
      </c>
      <c r="K651">
        <v>5</v>
      </c>
      <c r="L651" t="str">
        <f>IF(AND(C651&gt; Sheet1!B657,K651&lt;3), "Misaligned","Aligned")</f>
        <v>Aligned</v>
      </c>
    </row>
    <row r="652" spans="1:12" x14ac:dyDescent="0.3">
      <c r="A652" t="s">
        <v>43</v>
      </c>
      <c r="B652" t="s">
        <v>18</v>
      </c>
      <c r="C652">
        <v>50000</v>
      </c>
      <c r="D652" t="s">
        <v>19</v>
      </c>
      <c r="E652" t="s">
        <v>13</v>
      </c>
      <c r="F652" t="s">
        <v>39</v>
      </c>
      <c r="G652">
        <v>2018</v>
      </c>
      <c r="H652" s="1">
        <v>43195</v>
      </c>
      <c r="I652" t="s">
        <v>15</v>
      </c>
      <c r="J652" t="s">
        <v>30</v>
      </c>
      <c r="K652">
        <v>5</v>
      </c>
      <c r="L652" t="str">
        <f>IF(AND(C652&gt; Sheet1!B658,K652&lt;3), "Misaligned","Aligned")</f>
        <v>Aligned</v>
      </c>
    </row>
    <row r="653" spans="1:12" x14ac:dyDescent="0.3">
      <c r="A653" t="s">
        <v>42</v>
      </c>
      <c r="B653">
        <v>40</v>
      </c>
      <c r="C653">
        <v>70000</v>
      </c>
      <c r="D653" t="s">
        <v>19</v>
      </c>
      <c r="E653" t="s">
        <v>25</v>
      </c>
      <c r="F653" t="s">
        <v>21</v>
      </c>
      <c r="G653">
        <v>2020</v>
      </c>
      <c r="H653" s="1">
        <v>43845</v>
      </c>
      <c r="I653" t="s">
        <v>26</v>
      </c>
      <c r="J653" t="s">
        <v>38</v>
      </c>
      <c r="K653">
        <v>4</v>
      </c>
      <c r="L653" t="str">
        <f>IF(AND(C653&gt; Sheet1!B659,K653&lt;3), "Misaligned","Aligned")</f>
        <v>Aligned</v>
      </c>
    </row>
    <row r="654" spans="1:12" x14ac:dyDescent="0.3">
      <c r="A654" t="s">
        <v>44</v>
      </c>
      <c r="B654">
        <v>40</v>
      </c>
      <c r="C654">
        <v>55000</v>
      </c>
      <c r="D654" t="s">
        <v>19</v>
      </c>
      <c r="E654" t="s">
        <v>20</v>
      </c>
      <c r="F654" t="s">
        <v>39</v>
      </c>
      <c r="G654">
        <v>2020</v>
      </c>
      <c r="H654" s="1">
        <v>43881</v>
      </c>
      <c r="I654" t="s">
        <v>22</v>
      </c>
      <c r="J654" t="s">
        <v>27</v>
      </c>
      <c r="K654">
        <v>3</v>
      </c>
      <c r="L654" t="str">
        <f>IF(AND(C654&gt; Sheet1!B660,K654&lt;3), "Misaligned","Aligned")</f>
        <v>Aligned</v>
      </c>
    </row>
    <row r="655" spans="1:12" x14ac:dyDescent="0.3">
      <c r="A655" t="s">
        <v>35</v>
      </c>
      <c r="B655">
        <v>40</v>
      </c>
      <c r="C655">
        <v>55000</v>
      </c>
      <c r="D655" t="s">
        <v>32</v>
      </c>
      <c r="E655" t="s">
        <v>20</v>
      </c>
      <c r="F655" t="s">
        <v>14</v>
      </c>
      <c r="G655">
        <v>2019</v>
      </c>
      <c r="H655" s="1">
        <v>43800</v>
      </c>
      <c r="I655" t="s">
        <v>37</v>
      </c>
      <c r="J655" t="s">
        <v>30</v>
      </c>
      <c r="K655">
        <v>5</v>
      </c>
      <c r="L655" t="str">
        <f>IF(AND(C655&gt; Sheet1!B661,K655&lt;3), "Misaligned","Aligned")</f>
        <v>Aligned</v>
      </c>
    </row>
    <row r="656" spans="1:12" x14ac:dyDescent="0.3">
      <c r="A656" t="s">
        <v>43</v>
      </c>
      <c r="B656">
        <v>35</v>
      </c>
      <c r="C656">
        <v>50000</v>
      </c>
      <c r="D656" t="s">
        <v>19</v>
      </c>
      <c r="E656" t="s">
        <v>25</v>
      </c>
      <c r="F656" t="s">
        <v>14</v>
      </c>
      <c r="G656">
        <v>2019</v>
      </c>
      <c r="H656" s="1">
        <v>43549</v>
      </c>
      <c r="I656" t="s">
        <v>34</v>
      </c>
      <c r="J656" t="s">
        <v>23</v>
      </c>
      <c r="K656">
        <v>1</v>
      </c>
      <c r="L656" t="str">
        <f>IF(AND(C656&gt; Sheet1!B662,K656&lt;3), "Misaligned","Aligned")</f>
        <v>Misaligned</v>
      </c>
    </row>
    <row r="657" spans="1:12" x14ac:dyDescent="0.3">
      <c r="A657" t="s">
        <v>28</v>
      </c>
      <c r="B657" t="s">
        <v>18</v>
      </c>
      <c r="C657">
        <v>65000</v>
      </c>
      <c r="D657" t="s">
        <v>32</v>
      </c>
      <c r="E657" t="s">
        <v>13</v>
      </c>
      <c r="F657" t="s">
        <v>21</v>
      </c>
      <c r="G657">
        <v>2020</v>
      </c>
      <c r="H657" s="1">
        <v>43881</v>
      </c>
      <c r="I657" t="s">
        <v>22</v>
      </c>
      <c r="J657" t="s">
        <v>27</v>
      </c>
      <c r="K657">
        <v>3</v>
      </c>
      <c r="L657" t="str">
        <f>IF(AND(C657&gt; Sheet1!B663,K657&lt;3), "Misaligned","Aligned")</f>
        <v>Aligned</v>
      </c>
    </row>
    <row r="658" spans="1:12" x14ac:dyDescent="0.3">
      <c r="A658" t="s">
        <v>11</v>
      </c>
      <c r="B658">
        <v>50</v>
      </c>
      <c r="C658">
        <v>70000</v>
      </c>
      <c r="D658" t="s">
        <v>32</v>
      </c>
      <c r="E658" t="s">
        <v>29</v>
      </c>
      <c r="F658" t="s">
        <v>39</v>
      </c>
      <c r="G658">
        <v>2020</v>
      </c>
      <c r="H658" s="1">
        <v>43845</v>
      </c>
      <c r="I658" t="s">
        <v>26</v>
      </c>
      <c r="J658" t="s">
        <v>27</v>
      </c>
      <c r="K658">
        <v>3</v>
      </c>
      <c r="L658" t="str">
        <f>IF(AND(C658&gt; Sheet1!B664,K658&lt;3), "Misaligned","Aligned")</f>
        <v>Aligned</v>
      </c>
    </row>
    <row r="659" spans="1:12" x14ac:dyDescent="0.3">
      <c r="A659" t="s">
        <v>41</v>
      </c>
      <c r="B659">
        <v>35</v>
      </c>
      <c r="C659">
        <v>60000</v>
      </c>
      <c r="D659" t="s">
        <v>32</v>
      </c>
      <c r="E659" t="s">
        <v>20</v>
      </c>
      <c r="F659" t="s">
        <v>39</v>
      </c>
      <c r="G659">
        <v>2020</v>
      </c>
      <c r="H659" s="1">
        <v>43881</v>
      </c>
      <c r="I659" t="s">
        <v>22</v>
      </c>
      <c r="J659" t="s">
        <v>23</v>
      </c>
      <c r="K659">
        <v>1</v>
      </c>
      <c r="L659" t="str">
        <f>IF(AND(C659&gt; Sheet1!B665,K659&lt;3), "Misaligned","Aligned")</f>
        <v>Misaligned</v>
      </c>
    </row>
    <row r="660" spans="1:12" x14ac:dyDescent="0.3">
      <c r="A660" t="s">
        <v>43</v>
      </c>
      <c r="B660">
        <v>25</v>
      </c>
      <c r="C660">
        <v>50000</v>
      </c>
      <c r="D660" t="s">
        <v>19</v>
      </c>
      <c r="E660" t="s">
        <v>29</v>
      </c>
      <c r="F660" t="s">
        <v>40</v>
      </c>
      <c r="G660">
        <v>2019</v>
      </c>
      <c r="H660" s="1">
        <v>43549</v>
      </c>
      <c r="I660" t="s">
        <v>34</v>
      </c>
      <c r="J660" t="s">
        <v>16</v>
      </c>
      <c r="K660">
        <v>2</v>
      </c>
      <c r="L660" t="str">
        <f>IF(AND(C660&gt; Sheet1!B666,K660&lt;3), "Misaligned","Aligned")</f>
        <v>Misaligned</v>
      </c>
    </row>
    <row r="661" spans="1:12" x14ac:dyDescent="0.3">
      <c r="A661" t="s">
        <v>28</v>
      </c>
      <c r="B661">
        <v>40</v>
      </c>
      <c r="C661">
        <v>65000</v>
      </c>
      <c r="D661" t="s">
        <v>12</v>
      </c>
      <c r="E661" t="s">
        <v>33</v>
      </c>
      <c r="F661" t="s">
        <v>36</v>
      </c>
      <c r="G661">
        <v>2020</v>
      </c>
      <c r="H661" s="1">
        <v>43845</v>
      </c>
      <c r="I661" t="s">
        <v>26</v>
      </c>
      <c r="J661" t="s">
        <v>23</v>
      </c>
      <c r="K661">
        <v>1</v>
      </c>
      <c r="L661" t="str">
        <f>IF(AND(C661&gt; Sheet1!B667,K661&lt;3), "Misaligned","Aligned")</f>
        <v>Misaligned</v>
      </c>
    </row>
    <row r="662" spans="1:12" x14ac:dyDescent="0.3">
      <c r="A662" t="s">
        <v>28</v>
      </c>
      <c r="B662">
        <v>35</v>
      </c>
      <c r="C662">
        <v>60000</v>
      </c>
      <c r="D662" t="s">
        <v>12</v>
      </c>
      <c r="E662" t="s">
        <v>13</v>
      </c>
      <c r="F662" t="s">
        <v>21</v>
      </c>
      <c r="G662">
        <v>2018</v>
      </c>
      <c r="H662" s="1">
        <v>43195</v>
      </c>
      <c r="I662" t="s">
        <v>15</v>
      </c>
      <c r="J662" t="s">
        <v>23</v>
      </c>
      <c r="K662">
        <v>1</v>
      </c>
      <c r="L662" t="str">
        <f>IF(AND(C662&gt; Sheet1!B668,K662&lt;3), "Misaligned","Aligned")</f>
        <v>Misaligned</v>
      </c>
    </row>
    <row r="663" spans="1:12" x14ac:dyDescent="0.3">
      <c r="A663" t="s">
        <v>41</v>
      </c>
      <c r="B663">
        <v>35</v>
      </c>
      <c r="C663">
        <v>55000</v>
      </c>
      <c r="D663" t="s">
        <v>19</v>
      </c>
      <c r="E663" t="s">
        <v>33</v>
      </c>
      <c r="F663" t="s">
        <v>36</v>
      </c>
      <c r="G663">
        <v>2020</v>
      </c>
      <c r="H663" s="1">
        <v>43845</v>
      </c>
      <c r="I663" t="s">
        <v>26</v>
      </c>
      <c r="J663" t="s">
        <v>16</v>
      </c>
      <c r="K663">
        <v>2</v>
      </c>
      <c r="L663" t="str">
        <f>IF(AND(C663&gt; Sheet1!B669,K663&lt;3), "Misaligned","Aligned")</f>
        <v>Misaligned</v>
      </c>
    </row>
    <row r="664" spans="1:12" x14ac:dyDescent="0.3">
      <c r="A664" t="s">
        <v>35</v>
      </c>
      <c r="B664">
        <v>25</v>
      </c>
      <c r="C664">
        <v>55000</v>
      </c>
      <c r="D664" t="s">
        <v>12</v>
      </c>
      <c r="E664" t="s">
        <v>33</v>
      </c>
      <c r="F664" t="s">
        <v>36</v>
      </c>
      <c r="G664">
        <v>2018</v>
      </c>
      <c r="H664" s="1">
        <v>43195</v>
      </c>
      <c r="I664" t="s">
        <v>15</v>
      </c>
      <c r="J664" t="s">
        <v>16</v>
      </c>
      <c r="K664">
        <v>2</v>
      </c>
      <c r="L664" t="str">
        <f>IF(AND(C664&gt; Sheet1!B670,K664&lt;3), "Misaligned","Aligned")</f>
        <v>Misaligned</v>
      </c>
    </row>
    <row r="665" spans="1:12" x14ac:dyDescent="0.3">
      <c r="A665" t="s">
        <v>28</v>
      </c>
      <c r="B665">
        <v>30</v>
      </c>
      <c r="C665">
        <v>60000</v>
      </c>
      <c r="D665" t="s">
        <v>12</v>
      </c>
      <c r="E665" t="s">
        <v>33</v>
      </c>
      <c r="F665" t="s">
        <v>21</v>
      </c>
      <c r="G665">
        <v>2020</v>
      </c>
      <c r="H665" s="1">
        <v>43845</v>
      </c>
      <c r="I665" t="s">
        <v>26</v>
      </c>
      <c r="J665" t="s">
        <v>16</v>
      </c>
      <c r="K665">
        <v>2</v>
      </c>
      <c r="L665" t="str">
        <f>IF(AND(C665&gt; Sheet1!B671,K665&lt;3), "Misaligned","Aligned")</f>
        <v>Misaligned</v>
      </c>
    </row>
    <row r="666" spans="1:12" x14ac:dyDescent="0.3">
      <c r="A666" t="s">
        <v>11</v>
      </c>
      <c r="B666" t="s">
        <v>18</v>
      </c>
      <c r="C666">
        <v>50000</v>
      </c>
      <c r="D666" t="s">
        <v>32</v>
      </c>
      <c r="E666" t="s">
        <v>13</v>
      </c>
      <c r="F666" t="s">
        <v>39</v>
      </c>
      <c r="G666">
        <v>2019</v>
      </c>
      <c r="H666" s="1">
        <v>43549</v>
      </c>
      <c r="I666" t="s">
        <v>34</v>
      </c>
      <c r="J666" t="s">
        <v>16</v>
      </c>
      <c r="K666">
        <v>2</v>
      </c>
      <c r="L666" t="str">
        <f>IF(AND(C666&gt; Sheet1!B672,K666&lt;3), "Misaligned","Aligned")</f>
        <v>Misaligned</v>
      </c>
    </row>
    <row r="667" spans="1:12" x14ac:dyDescent="0.3">
      <c r="A667" t="s">
        <v>28</v>
      </c>
      <c r="B667">
        <v>50</v>
      </c>
      <c r="C667">
        <v>55000</v>
      </c>
      <c r="D667" t="s">
        <v>32</v>
      </c>
      <c r="E667" t="s">
        <v>13</v>
      </c>
      <c r="F667" t="s">
        <v>21</v>
      </c>
      <c r="G667">
        <v>2019</v>
      </c>
      <c r="H667" s="1">
        <v>43549</v>
      </c>
      <c r="I667" t="s">
        <v>34</v>
      </c>
      <c r="J667" t="s">
        <v>16</v>
      </c>
      <c r="K667">
        <v>2</v>
      </c>
      <c r="L667" t="str">
        <f>IF(AND(C667&gt; Sheet1!B673,K667&lt;3), "Misaligned","Aligned")</f>
        <v>Misaligned</v>
      </c>
    </row>
    <row r="668" spans="1:12" x14ac:dyDescent="0.3">
      <c r="A668" t="s">
        <v>28</v>
      </c>
      <c r="B668">
        <v>30</v>
      </c>
      <c r="C668">
        <v>70000</v>
      </c>
      <c r="D668" t="s">
        <v>19</v>
      </c>
      <c r="E668" t="s">
        <v>25</v>
      </c>
      <c r="F668" t="s">
        <v>36</v>
      </c>
      <c r="G668">
        <v>2020</v>
      </c>
      <c r="H668" s="1">
        <v>43845</v>
      </c>
      <c r="I668" t="s">
        <v>26</v>
      </c>
      <c r="J668" t="s">
        <v>23</v>
      </c>
      <c r="K668">
        <v>1</v>
      </c>
      <c r="L668" t="str">
        <f>IF(AND(C668&gt; Sheet1!B674,K668&lt;3), "Misaligned","Aligned")</f>
        <v>Misaligned</v>
      </c>
    </row>
    <row r="669" spans="1:12" x14ac:dyDescent="0.3">
      <c r="A669" t="s">
        <v>28</v>
      </c>
      <c r="B669">
        <v>40</v>
      </c>
      <c r="C669" t="s">
        <v>18</v>
      </c>
      <c r="D669" t="s">
        <v>19</v>
      </c>
      <c r="E669" t="s">
        <v>29</v>
      </c>
      <c r="F669" t="s">
        <v>39</v>
      </c>
      <c r="G669">
        <v>2020</v>
      </c>
      <c r="H669" s="1">
        <v>43881</v>
      </c>
      <c r="I669" t="s">
        <v>22</v>
      </c>
      <c r="J669" t="s">
        <v>38</v>
      </c>
      <c r="K669">
        <v>4</v>
      </c>
      <c r="L669" t="str">
        <f>IF(AND(C669&gt; Sheet1!B675,K669&lt;3), "Misaligned","Aligned")</f>
        <v>Aligned</v>
      </c>
    </row>
    <row r="670" spans="1:12" x14ac:dyDescent="0.3">
      <c r="A670" t="s">
        <v>31</v>
      </c>
      <c r="B670">
        <v>35</v>
      </c>
      <c r="C670">
        <v>60000</v>
      </c>
      <c r="D670" t="s">
        <v>12</v>
      </c>
      <c r="E670" t="s">
        <v>29</v>
      </c>
      <c r="F670" t="s">
        <v>14</v>
      </c>
      <c r="G670">
        <v>2019</v>
      </c>
      <c r="H670" s="1">
        <v>43549</v>
      </c>
      <c r="I670" t="s">
        <v>34</v>
      </c>
      <c r="J670" t="s">
        <v>38</v>
      </c>
      <c r="K670">
        <v>4</v>
      </c>
      <c r="L670" t="str">
        <f>IF(AND(C670&gt; Sheet1!B676,K670&lt;3), "Misaligned","Aligned")</f>
        <v>Aligned</v>
      </c>
    </row>
    <row r="671" spans="1:12" x14ac:dyDescent="0.3">
      <c r="A671" t="s">
        <v>31</v>
      </c>
      <c r="B671">
        <v>25</v>
      </c>
      <c r="C671">
        <v>60000</v>
      </c>
      <c r="D671" t="s">
        <v>32</v>
      </c>
      <c r="E671" t="s">
        <v>25</v>
      </c>
      <c r="F671" t="s">
        <v>21</v>
      </c>
      <c r="G671">
        <v>2018</v>
      </c>
      <c r="H671" s="1">
        <v>43195</v>
      </c>
      <c r="I671" t="s">
        <v>15</v>
      </c>
      <c r="J671" t="s">
        <v>30</v>
      </c>
      <c r="K671">
        <v>5</v>
      </c>
      <c r="L671" t="str">
        <f>IF(AND(C671&gt; Sheet1!B677,K671&lt;3), "Misaligned","Aligned")</f>
        <v>Aligned</v>
      </c>
    </row>
    <row r="672" spans="1:12" x14ac:dyDescent="0.3">
      <c r="A672" t="s">
        <v>35</v>
      </c>
      <c r="B672">
        <v>25</v>
      </c>
      <c r="C672">
        <v>55000</v>
      </c>
      <c r="D672" t="s">
        <v>19</v>
      </c>
      <c r="E672" t="s">
        <v>25</v>
      </c>
      <c r="F672" t="s">
        <v>21</v>
      </c>
      <c r="G672">
        <v>2018</v>
      </c>
      <c r="H672" s="1">
        <v>43195</v>
      </c>
      <c r="I672" t="s">
        <v>15</v>
      </c>
      <c r="J672" t="s">
        <v>38</v>
      </c>
      <c r="K672">
        <v>4</v>
      </c>
      <c r="L672" t="str">
        <f>IF(AND(C672&gt; Sheet1!B678,K672&lt;3), "Misaligned","Aligned")</f>
        <v>Aligned</v>
      </c>
    </row>
    <row r="673" spans="1:12" x14ac:dyDescent="0.3">
      <c r="A673" t="s">
        <v>43</v>
      </c>
      <c r="B673" t="s">
        <v>18</v>
      </c>
      <c r="C673">
        <v>50000</v>
      </c>
      <c r="D673" t="s">
        <v>19</v>
      </c>
      <c r="E673" t="s">
        <v>33</v>
      </c>
      <c r="F673" t="s">
        <v>39</v>
      </c>
      <c r="G673">
        <v>2019</v>
      </c>
      <c r="H673" s="1">
        <v>43800</v>
      </c>
      <c r="I673" t="s">
        <v>37</v>
      </c>
      <c r="J673" t="s">
        <v>38</v>
      </c>
      <c r="K673">
        <v>4</v>
      </c>
      <c r="L673" t="str">
        <f>IF(AND(C673&gt; Sheet1!B679,K673&lt;3), "Misaligned","Aligned")</f>
        <v>Aligned</v>
      </c>
    </row>
    <row r="674" spans="1:12" x14ac:dyDescent="0.3">
      <c r="A674" t="s">
        <v>28</v>
      </c>
      <c r="B674">
        <v>30</v>
      </c>
      <c r="C674">
        <v>70000</v>
      </c>
      <c r="D674" t="s">
        <v>19</v>
      </c>
      <c r="E674" t="s">
        <v>25</v>
      </c>
      <c r="F674" t="s">
        <v>14</v>
      </c>
      <c r="G674">
        <v>2018</v>
      </c>
      <c r="H674" s="1">
        <v>43195</v>
      </c>
      <c r="I674" t="s">
        <v>15</v>
      </c>
      <c r="J674" t="s">
        <v>23</v>
      </c>
      <c r="K674">
        <v>1</v>
      </c>
      <c r="L674" t="str">
        <f>IF(AND(C674&gt; Sheet1!B680,K674&lt;3), "Misaligned","Aligned")</f>
        <v>Misaligned</v>
      </c>
    </row>
    <row r="675" spans="1:12" x14ac:dyDescent="0.3">
      <c r="A675" t="s">
        <v>44</v>
      </c>
      <c r="B675" t="s">
        <v>18</v>
      </c>
      <c r="C675">
        <v>50000</v>
      </c>
      <c r="D675" t="s">
        <v>19</v>
      </c>
      <c r="E675" t="s">
        <v>20</v>
      </c>
      <c r="F675" t="s">
        <v>14</v>
      </c>
      <c r="G675">
        <v>2019</v>
      </c>
      <c r="H675" s="1">
        <v>43800</v>
      </c>
      <c r="I675" t="s">
        <v>37</v>
      </c>
      <c r="J675" t="s">
        <v>16</v>
      </c>
      <c r="K675">
        <v>2</v>
      </c>
      <c r="L675" t="str">
        <f>IF(AND(C675&gt; Sheet1!B681,K675&lt;3), "Misaligned","Aligned")</f>
        <v>Misaligned</v>
      </c>
    </row>
    <row r="676" spans="1:12" x14ac:dyDescent="0.3">
      <c r="A676" t="s">
        <v>43</v>
      </c>
      <c r="B676">
        <v>35</v>
      </c>
      <c r="C676">
        <v>65000</v>
      </c>
      <c r="D676" t="s">
        <v>19</v>
      </c>
      <c r="E676" t="s">
        <v>29</v>
      </c>
      <c r="F676" t="s">
        <v>39</v>
      </c>
      <c r="G676">
        <v>2020</v>
      </c>
      <c r="H676" s="1">
        <v>43845</v>
      </c>
      <c r="I676" t="s">
        <v>26</v>
      </c>
      <c r="J676" t="s">
        <v>16</v>
      </c>
      <c r="K676">
        <v>2</v>
      </c>
      <c r="L676" t="str">
        <f>IF(AND(C676&gt; Sheet1!B682,K676&lt;3), "Misaligned","Aligned")</f>
        <v>Misaligned</v>
      </c>
    </row>
    <row r="677" spans="1:12" x14ac:dyDescent="0.3">
      <c r="A677" t="s">
        <v>35</v>
      </c>
      <c r="B677" t="s">
        <v>18</v>
      </c>
      <c r="C677">
        <v>65000</v>
      </c>
      <c r="D677" t="s">
        <v>19</v>
      </c>
      <c r="E677" t="s">
        <v>25</v>
      </c>
      <c r="F677" t="s">
        <v>40</v>
      </c>
      <c r="G677">
        <v>2020</v>
      </c>
      <c r="H677" s="1">
        <v>43845</v>
      </c>
      <c r="I677" t="s">
        <v>26</v>
      </c>
      <c r="J677" t="s">
        <v>23</v>
      </c>
      <c r="K677">
        <v>1</v>
      </c>
      <c r="L677" t="str">
        <f>IF(AND(C677&gt; Sheet1!B683,K677&lt;3), "Misaligned","Aligned")</f>
        <v>Misaligned</v>
      </c>
    </row>
    <row r="678" spans="1:12" x14ac:dyDescent="0.3">
      <c r="A678" t="s">
        <v>17</v>
      </c>
      <c r="B678">
        <v>50</v>
      </c>
      <c r="C678" t="s">
        <v>18</v>
      </c>
      <c r="D678" t="s">
        <v>12</v>
      </c>
      <c r="E678" t="s">
        <v>20</v>
      </c>
      <c r="F678" t="s">
        <v>21</v>
      </c>
      <c r="G678">
        <v>2020</v>
      </c>
      <c r="H678" s="1">
        <v>43845</v>
      </c>
      <c r="I678" t="s">
        <v>26</v>
      </c>
      <c r="J678" t="s">
        <v>38</v>
      </c>
      <c r="K678">
        <v>4</v>
      </c>
      <c r="L678" t="str">
        <f>IF(AND(C678&gt; Sheet1!B684,K678&lt;3), "Misaligned","Aligned")</f>
        <v>Aligned</v>
      </c>
    </row>
    <row r="679" spans="1:12" x14ac:dyDescent="0.3">
      <c r="A679" t="s">
        <v>43</v>
      </c>
      <c r="B679">
        <v>25</v>
      </c>
      <c r="C679">
        <v>55000</v>
      </c>
      <c r="D679" t="s">
        <v>32</v>
      </c>
      <c r="E679" t="s">
        <v>20</v>
      </c>
      <c r="F679" t="s">
        <v>21</v>
      </c>
      <c r="G679">
        <v>2020</v>
      </c>
      <c r="H679" s="1">
        <v>43881</v>
      </c>
      <c r="I679" t="s">
        <v>22</v>
      </c>
      <c r="J679" t="s">
        <v>23</v>
      </c>
      <c r="K679">
        <v>1</v>
      </c>
      <c r="L679" t="str">
        <f>IF(AND(C679&gt; Sheet1!B685,K679&lt;3), "Misaligned","Aligned")</f>
        <v>Misaligned</v>
      </c>
    </row>
    <row r="680" spans="1:12" x14ac:dyDescent="0.3">
      <c r="A680" t="s">
        <v>43</v>
      </c>
      <c r="B680">
        <v>25</v>
      </c>
      <c r="C680">
        <v>55000</v>
      </c>
      <c r="D680" t="s">
        <v>32</v>
      </c>
      <c r="E680" t="s">
        <v>20</v>
      </c>
      <c r="F680" t="s">
        <v>36</v>
      </c>
      <c r="G680">
        <v>2020</v>
      </c>
      <c r="H680" s="1">
        <v>43881</v>
      </c>
      <c r="I680" t="s">
        <v>22</v>
      </c>
      <c r="J680" t="s">
        <v>30</v>
      </c>
      <c r="K680">
        <v>5</v>
      </c>
      <c r="L680" t="str">
        <f>IF(AND(C680&gt; Sheet1!B686,K680&lt;3), "Misaligned","Aligned")</f>
        <v>Aligned</v>
      </c>
    </row>
    <row r="681" spans="1:12" x14ac:dyDescent="0.3">
      <c r="A681" t="s">
        <v>24</v>
      </c>
      <c r="B681">
        <v>40</v>
      </c>
      <c r="C681">
        <v>55000</v>
      </c>
      <c r="D681" t="s">
        <v>19</v>
      </c>
      <c r="E681" t="s">
        <v>20</v>
      </c>
      <c r="F681" t="s">
        <v>39</v>
      </c>
      <c r="G681">
        <v>2019</v>
      </c>
      <c r="H681" s="1">
        <v>43800</v>
      </c>
      <c r="I681" t="s">
        <v>37</v>
      </c>
      <c r="J681" t="s">
        <v>16</v>
      </c>
      <c r="K681">
        <v>2</v>
      </c>
      <c r="L681" t="str">
        <f>IF(AND(C681&gt; Sheet1!B687,K681&lt;3), "Misaligned","Aligned")</f>
        <v>Misaligned</v>
      </c>
    </row>
    <row r="682" spans="1:12" x14ac:dyDescent="0.3">
      <c r="A682" t="s">
        <v>42</v>
      </c>
      <c r="B682">
        <v>40</v>
      </c>
      <c r="C682" t="s">
        <v>18</v>
      </c>
      <c r="D682" t="s">
        <v>32</v>
      </c>
      <c r="E682" t="s">
        <v>33</v>
      </c>
      <c r="F682" t="s">
        <v>36</v>
      </c>
      <c r="G682">
        <v>2018</v>
      </c>
      <c r="H682" s="1">
        <v>43195</v>
      </c>
      <c r="I682" t="s">
        <v>15</v>
      </c>
      <c r="J682" t="s">
        <v>27</v>
      </c>
      <c r="K682">
        <v>3</v>
      </c>
      <c r="L682" t="str">
        <f>IF(AND(C682&gt; Sheet1!B688,K682&lt;3), "Misaligned","Aligned")</f>
        <v>Aligned</v>
      </c>
    </row>
    <row r="683" spans="1:12" x14ac:dyDescent="0.3">
      <c r="A683" t="s">
        <v>24</v>
      </c>
      <c r="B683">
        <v>35</v>
      </c>
      <c r="C683">
        <v>65000</v>
      </c>
      <c r="D683" t="s">
        <v>32</v>
      </c>
      <c r="E683" t="s">
        <v>20</v>
      </c>
      <c r="F683" t="s">
        <v>36</v>
      </c>
      <c r="G683">
        <v>2018</v>
      </c>
      <c r="H683" s="1">
        <v>43195</v>
      </c>
      <c r="I683" t="s">
        <v>15</v>
      </c>
      <c r="J683" t="s">
        <v>30</v>
      </c>
      <c r="K683">
        <v>5</v>
      </c>
      <c r="L683" t="str">
        <f>IF(AND(C683&gt; Sheet1!B689,K683&lt;3), "Misaligned","Aligned")</f>
        <v>Aligned</v>
      </c>
    </row>
    <row r="684" spans="1:12" x14ac:dyDescent="0.3">
      <c r="A684" t="s">
        <v>11</v>
      </c>
      <c r="B684">
        <v>50</v>
      </c>
      <c r="C684">
        <v>50000</v>
      </c>
      <c r="D684" t="s">
        <v>32</v>
      </c>
      <c r="E684" t="s">
        <v>33</v>
      </c>
      <c r="F684" t="s">
        <v>14</v>
      </c>
      <c r="G684">
        <v>2020</v>
      </c>
      <c r="H684" s="1">
        <v>43845</v>
      </c>
      <c r="I684" t="s">
        <v>26</v>
      </c>
      <c r="J684" t="s">
        <v>30</v>
      </c>
      <c r="K684">
        <v>5</v>
      </c>
      <c r="L684" t="str">
        <f>IF(AND(C684&gt; Sheet1!B690,K684&lt;3), "Misaligned","Aligned")</f>
        <v>Aligned</v>
      </c>
    </row>
    <row r="685" spans="1:12" x14ac:dyDescent="0.3">
      <c r="A685" t="s">
        <v>31</v>
      </c>
      <c r="B685">
        <v>30</v>
      </c>
      <c r="C685" t="s">
        <v>18</v>
      </c>
      <c r="D685" t="s">
        <v>19</v>
      </c>
      <c r="E685" t="s">
        <v>33</v>
      </c>
      <c r="F685" t="s">
        <v>21</v>
      </c>
      <c r="G685">
        <v>2019</v>
      </c>
      <c r="H685" s="1">
        <v>43549</v>
      </c>
      <c r="I685" t="s">
        <v>34</v>
      </c>
      <c r="J685" t="s">
        <v>23</v>
      </c>
      <c r="K685">
        <v>1</v>
      </c>
      <c r="L685" t="str">
        <f>IF(AND(C685&gt; Sheet1!B691,K685&lt;3), "Misaligned","Aligned")</f>
        <v>Misaligned</v>
      </c>
    </row>
    <row r="686" spans="1:12" x14ac:dyDescent="0.3">
      <c r="A686" t="s">
        <v>31</v>
      </c>
      <c r="B686" t="s">
        <v>18</v>
      </c>
      <c r="C686" t="s">
        <v>18</v>
      </c>
      <c r="D686" t="s">
        <v>19</v>
      </c>
      <c r="E686" t="s">
        <v>20</v>
      </c>
      <c r="F686" t="s">
        <v>36</v>
      </c>
      <c r="G686">
        <v>2020</v>
      </c>
      <c r="H686" s="1">
        <v>43881</v>
      </c>
      <c r="I686" t="s">
        <v>22</v>
      </c>
      <c r="J686" t="s">
        <v>38</v>
      </c>
      <c r="K686">
        <v>4</v>
      </c>
      <c r="L686" t="str">
        <f>IF(AND(C686&gt; Sheet1!B692,K686&lt;3), "Misaligned","Aligned")</f>
        <v>Aligned</v>
      </c>
    </row>
    <row r="687" spans="1:12" x14ac:dyDescent="0.3">
      <c r="A687" t="s">
        <v>42</v>
      </c>
      <c r="B687">
        <v>35</v>
      </c>
      <c r="C687">
        <v>50000</v>
      </c>
      <c r="D687" t="s">
        <v>32</v>
      </c>
      <c r="E687" t="s">
        <v>29</v>
      </c>
      <c r="F687" t="s">
        <v>14</v>
      </c>
      <c r="G687">
        <v>2020</v>
      </c>
      <c r="H687" s="1">
        <v>43881</v>
      </c>
      <c r="I687" t="s">
        <v>22</v>
      </c>
      <c r="J687" t="s">
        <v>16</v>
      </c>
      <c r="K687">
        <v>2</v>
      </c>
      <c r="L687" t="str">
        <f>IF(AND(C687&gt; Sheet1!B693,K687&lt;3), "Misaligned","Aligned")</f>
        <v>Misaligned</v>
      </c>
    </row>
    <row r="688" spans="1:12" x14ac:dyDescent="0.3">
      <c r="A688" t="s">
        <v>41</v>
      </c>
      <c r="B688">
        <v>40</v>
      </c>
      <c r="C688">
        <v>55000</v>
      </c>
      <c r="D688" t="s">
        <v>32</v>
      </c>
      <c r="E688" t="s">
        <v>20</v>
      </c>
      <c r="F688" t="s">
        <v>39</v>
      </c>
      <c r="G688">
        <v>2020</v>
      </c>
      <c r="H688" s="1">
        <v>43845</v>
      </c>
      <c r="I688" t="s">
        <v>26</v>
      </c>
      <c r="J688" t="s">
        <v>27</v>
      </c>
      <c r="K688">
        <v>3</v>
      </c>
      <c r="L688" t="str">
        <f>IF(AND(C688&gt; Sheet1!B694,K688&lt;3), "Misaligned","Aligned")</f>
        <v>Aligned</v>
      </c>
    </row>
    <row r="689" spans="1:12" x14ac:dyDescent="0.3">
      <c r="A689" t="s">
        <v>41</v>
      </c>
      <c r="B689" t="s">
        <v>18</v>
      </c>
      <c r="C689">
        <v>70000</v>
      </c>
      <c r="D689" t="s">
        <v>19</v>
      </c>
      <c r="E689" t="s">
        <v>20</v>
      </c>
      <c r="F689" t="s">
        <v>36</v>
      </c>
      <c r="G689">
        <v>2020</v>
      </c>
      <c r="H689" s="1">
        <v>43881</v>
      </c>
      <c r="I689" t="s">
        <v>22</v>
      </c>
      <c r="J689" t="s">
        <v>30</v>
      </c>
      <c r="K689">
        <v>5</v>
      </c>
      <c r="L689" t="str">
        <f>IF(AND(C689&gt; Sheet1!B695,K689&lt;3), "Misaligned","Aligned")</f>
        <v>Aligned</v>
      </c>
    </row>
    <row r="690" spans="1:12" x14ac:dyDescent="0.3">
      <c r="A690" t="s">
        <v>35</v>
      </c>
      <c r="B690">
        <v>40</v>
      </c>
      <c r="C690">
        <v>50000</v>
      </c>
      <c r="D690" t="s">
        <v>12</v>
      </c>
      <c r="E690" t="s">
        <v>20</v>
      </c>
      <c r="F690" t="s">
        <v>21</v>
      </c>
      <c r="G690">
        <v>2020</v>
      </c>
      <c r="H690" s="1">
        <v>43845</v>
      </c>
      <c r="I690" t="s">
        <v>26</v>
      </c>
      <c r="J690" t="s">
        <v>27</v>
      </c>
      <c r="K690">
        <v>3</v>
      </c>
      <c r="L690" t="str">
        <f>IF(AND(C690&gt; Sheet1!B696,K690&lt;3), "Misaligned","Aligned")</f>
        <v>Aligned</v>
      </c>
    </row>
    <row r="691" spans="1:12" x14ac:dyDescent="0.3">
      <c r="A691" t="s">
        <v>42</v>
      </c>
      <c r="B691" t="s">
        <v>18</v>
      </c>
      <c r="C691">
        <v>65000</v>
      </c>
      <c r="D691" t="s">
        <v>32</v>
      </c>
      <c r="E691" t="s">
        <v>29</v>
      </c>
      <c r="F691" t="s">
        <v>36</v>
      </c>
      <c r="G691">
        <v>2019</v>
      </c>
      <c r="H691" s="1">
        <v>43800</v>
      </c>
      <c r="I691" t="s">
        <v>37</v>
      </c>
      <c r="J691" t="s">
        <v>38</v>
      </c>
      <c r="K691">
        <v>4</v>
      </c>
      <c r="L691" t="str">
        <f>IF(AND(C691&gt; Sheet1!B697,K691&lt;3), "Misaligned","Aligned")</f>
        <v>Aligned</v>
      </c>
    </row>
    <row r="692" spans="1:12" x14ac:dyDescent="0.3">
      <c r="A692" t="s">
        <v>43</v>
      </c>
      <c r="B692">
        <v>30</v>
      </c>
      <c r="C692">
        <v>60000</v>
      </c>
      <c r="D692" t="s">
        <v>12</v>
      </c>
      <c r="E692" t="s">
        <v>13</v>
      </c>
      <c r="F692" t="s">
        <v>39</v>
      </c>
      <c r="G692">
        <v>2018</v>
      </c>
      <c r="H692" s="1">
        <v>43195</v>
      </c>
      <c r="I692" t="s">
        <v>15</v>
      </c>
      <c r="J692" t="s">
        <v>38</v>
      </c>
      <c r="K692">
        <v>4</v>
      </c>
      <c r="L692" t="str">
        <f>IF(AND(C692&gt; Sheet1!B698,K692&lt;3), "Misaligned","Aligned")</f>
        <v>Aligned</v>
      </c>
    </row>
    <row r="693" spans="1:12" x14ac:dyDescent="0.3">
      <c r="A693" t="s">
        <v>41</v>
      </c>
      <c r="B693">
        <v>35</v>
      </c>
      <c r="C693">
        <v>60000</v>
      </c>
      <c r="D693" t="s">
        <v>32</v>
      </c>
      <c r="E693" t="s">
        <v>13</v>
      </c>
      <c r="F693" t="s">
        <v>36</v>
      </c>
      <c r="G693">
        <v>2019</v>
      </c>
      <c r="H693" s="1">
        <v>43549</v>
      </c>
      <c r="I693" t="s">
        <v>34</v>
      </c>
      <c r="J693" t="s">
        <v>27</v>
      </c>
      <c r="K693">
        <v>3</v>
      </c>
      <c r="L693" t="str">
        <f>IF(AND(C693&gt; Sheet1!B699,K693&lt;3), "Misaligned","Aligned")</f>
        <v>Aligned</v>
      </c>
    </row>
    <row r="694" spans="1:12" x14ac:dyDescent="0.3">
      <c r="A694" t="s">
        <v>28</v>
      </c>
      <c r="B694" t="s">
        <v>18</v>
      </c>
      <c r="C694" t="s">
        <v>18</v>
      </c>
      <c r="D694" t="s">
        <v>12</v>
      </c>
      <c r="E694" t="s">
        <v>33</v>
      </c>
      <c r="F694" t="s">
        <v>21</v>
      </c>
      <c r="G694">
        <v>2018</v>
      </c>
      <c r="H694" s="1">
        <v>43195</v>
      </c>
      <c r="I694" t="s">
        <v>15</v>
      </c>
      <c r="J694" t="s">
        <v>16</v>
      </c>
      <c r="K694">
        <v>2</v>
      </c>
      <c r="L694" t="str">
        <f>IF(AND(C694&gt; Sheet1!B700,K694&lt;3), "Misaligned","Aligned")</f>
        <v>Misaligned</v>
      </c>
    </row>
    <row r="695" spans="1:12" x14ac:dyDescent="0.3">
      <c r="A695" t="s">
        <v>44</v>
      </c>
      <c r="B695">
        <v>50</v>
      </c>
      <c r="C695">
        <v>60000</v>
      </c>
      <c r="D695" t="s">
        <v>12</v>
      </c>
      <c r="E695" t="s">
        <v>33</v>
      </c>
      <c r="F695" t="s">
        <v>14</v>
      </c>
      <c r="G695">
        <v>2018</v>
      </c>
      <c r="H695" s="1">
        <v>43195</v>
      </c>
      <c r="I695" t="s">
        <v>15</v>
      </c>
      <c r="J695" t="s">
        <v>38</v>
      </c>
      <c r="K695">
        <v>4</v>
      </c>
      <c r="L695" t="str">
        <f>IF(AND(C695&gt; Sheet1!B701,K695&lt;3), "Misaligned","Aligned")</f>
        <v>Aligned</v>
      </c>
    </row>
    <row r="696" spans="1:12" x14ac:dyDescent="0.3">
      <c r="A696" t="s">
        <v>43</v>
      </c>
      <c r="B696">
        <v>25</v>
      </c>
      <c r="C696">
        <v>70000</v>
      </c>
      <c r="D696" t="s">
        <v>12</v>
      </c>
      <c r="E696" t="s">
        <v>29</v>
      </c>
      <c r="F696" t="s">
        <v>21</v>
      </c>
      <c r="G696">
        <v>2019</v>
      </c>
      <c r="H696" s="1">
        <v>43800</v>
      </c>
      <c r="I696" t="s">
        <v>37</v>
      </c>
      <c r="J696" t="s">
        <v>27</v>
      </c>
      <c r="K696">
        <v>3</v>
      </c>
      <c r="L696" t="str">
        <f>IF(AND(C696&gt; Sheet1!B702,K696&lt;3), "Misaligned","Aligned")</f>
        <v>Aligned</v>
      </c>
    </row>
    <row r="697" spans="1:12" x14ac:dyDescent="0.3">
      <c r="A697" t="s">
        <v>11</v>
      </c>
      <c r="B697">
        <v>50</v>
      </c>
      <c r="C697">
        <v>55000</v>
      </c>
      <c r="D697" t="s">
        <v>19</v>
      </c>
      <c r="E697" t="s">
        <v>25</v>
      </c>
      <c r="F697" t="s">
        <v>14</v>
      </c>
      <c r="G697">
        <v>2020</v>
      </c>
      <c r="H697" s="1">
        <v>43881</v>
      </c>
      <c r="I697" t="s">
        <v>22</v>
      </c>
      <c r="J697" t="s">
        <v>30</v>
      </c>
      <c r="K697">
        <v>5</v>
      </c>
      <c r="L697" t="str">
        <f>IF(AND(C697&gt; Sheet1!B703,K697&lt;3), "Misaligned","Aligned")</f>
        <v>Aligned</v>
      </c>
    </row>
    <row r="698" spans="1:12" x14ac:dyDescent="0.3">
      <c r="A698" t="s">
        <v>28</v>
      </c>
      <c r="B698">
        <v>50</v>
      </c>
      <c r="C698">
        <v>65000</v>
      </c>
      <c r="D698" t="s">
        <v>12</v>
      </c>
      <c r="E698" t="s">
        <v>13</v>
      </c>
      <c r="F698" t="s">
        <v>40</v>
      </c>
      <c r="G698">
        <v>2019</v>
      </c>
      <c r="H698" s="1">
        <v>43549</v>
      </c>
      <c r="I698" t="s">
        <v>34</v>
      </c>
      <c r="J698" t="s">
        <v>27</v>
      </c>
      <c r="K698">
        <v>3</v>
      </c>
      <c r="L698" t="str">
        <f>IF(AND(C698&gt; Sheet1!B704,K698&lt;3), "Misaligned","Aligned")</f>
        <v>Aligned</v>
      </c>
    </row>
    <row r="699" spans="1:12" x14ac:dyDescent="0.3">
      <c r="A699" t="s">
        <v>28</v>
      </c>
      <c r="B699">
        <v>25</v>
      </c>
      <c r="C699">
        <v>70000</v>
      </c>
      <c r="D699" t="s">
        <v>12</v>
      </c>
      <c r="E699" t="s">
        <v>33</v>
      </c>
      <c r="F699" t="s">
        <v>21</v>
      </c>
      <c r="G699">
        <v>2020</v>
      </c>
      <c r="H699" s="1">
        <v>43881</v>
      </c>
      <c r="I699" t="s">
        <v>22</v>
      </c>
      <c r="J699" t="s">
        <v>27</v>
      </c>
      <c r="K699">
        <v>3</v>
      </c>
      <c r="L699" t="str">
        <f>IF(AND(C699&gt; Sheet1!B705,K699&lt;3), "Misaligned","Aligned")</f>
        <v>Aligned</v>
      </c>
    </row>
    <row r="700" spans="1:12" x14ac:dyDescent="0.3">
      <c r="A700" t="s">
        <v>42</v>
      </c>
      <c r="B700">
        <v>50</v>
      </c>
      <c r="C700">
        <v>65000</v>
      </c>
      <c r="D700" t="s">
        <v>12</v>
      </c>
      <c r="E700" t="s">
        <v>13</v>
      </c>
      <c r="F700" t="s">
        <v>21</v>
      </c>
      <c r="G700">
        <v>2018</v>
      </c>
      <c r="H700" s="1">
        <v>43195</v>
      </c>
      <c r="I700" t="s">
        <v>15</v>
      </c>
      <c r="J700" t="s">
        <v>23</v>
      </c>
      <c r="K700">
        <v>1</v>
      </c>
      <c r="L700" t="str">
        <f>IF(AND(C700&gt; Sheet1!B706,K700&lt;3), "Misaligned","Aligned")</f>
        <v>Misaligned</v>
      </c>
    </row>
    <row r="701" spans="1:12" x14ac:dyDescent="0.3">
      <c r="A701" t="s">
        <v>35</v>
      </c>
      <c r="B701" t="s">
        <v>18</v>
      </c>
      <c r="C701">
        <v>65000</v>
      </c>
      <c r="D701" t="s">
        <v>32</v>
      </c>
      <c r="E701" t="s">
        <v>29</v>
      </c>
      <c r="F701" t="s">
        <v>39</v>
      </c>
      <c r="G701">
        <v>2020</v>
      </c>
      <c r="H701" s="1">
        <v>43845</v>
      </c>
      <c r="I701" t="s">
        <v>26</v>
      </c>
      <c r="J701" t="s">
        <v>38</v>
      </c>
      <c r="K701">
        <v>4</v>
      </c>
      <c r="L701" t="str">
        <f>IF(AND(C701&gt; Sheet1!B707,K701&lt;3), "Misaligned","Aligned")</f>
        <v>Aligned</v>
      </c>
    </row>
    <row r="702" spans="1:12" x14ac:dyDescent="0.3">
      <c r="A702" t="s">
        <v>11</v>
      </c>
      <c r="B702" t="s">
        <v>18</v>
      </c>
      <c r="C702">
        <v>55000</v>
      </c>
      <c r="D702" t="s">
        <v>12</v>
      </c>
      <c r="E702" t="s">
        <v>29</v>
      </c>
      <c r="F702" t="s">
        <v>36</v>
      </c>
      <c r="G702">
        <v>2018</v>
      </c>
      <c r="H702" s="1">
        <v>43195</v>
      </c>
      <c r="I702" t="s">
        <v>15</v>
      </c>
      <c r="J702" t="s">
        <v>16</v>
      </c>
      <c r="K702">
        <v>2</v>
      </c>
      <c r="L702" t="str">
        <f>IF(AND(C702&gt; Sheet1!B708,K702&lt;3), "Misaligned","Aligned")</f>
        <v>Misaligned</v>
      </c>
    </row>
    <row r="703" spans="1:12" x14ac:dyDescent="0.3">
      <c r="A703" t="s">
        <v>41</v>
      </c>
      <c r="B703" t="s">
        <v>18</v>
      </c>
      <c r="C703" t="s">
        <v>18</v>
      </c>
      <c r="D703" t="s">
        <v>32</v>
      </c>
      <c r="E703" t="s">
        <v>25</v>
      </c>
      <c r="F703" t="s">
        <v>14</v>
      </c>
      <c r="G703">
        <v>2020</v>
      </c>
      <c r="H703" s="1">
        <v>43881</v>
      </c>
      <c r="I703" t="s">
        <v>22</v>
      </c>
      <c r="J703" t="s">
        <v>16</v>
      </c>
      <c r="K703">
        <v>2</v>
      </c>
      <c r="L703" t="str">
        <f>IF(AND(C703&gt; Sheet1!B709,K703&lt;3), "Misaligned","Aligned")</f>
        <v>Misaligned</v>
      </c>
    </row>
    <row r="704" spans="1:12" x14ac:dyDescent="0.3">
      <c r="A704" t="s">
        <v>42</v>
      </c>
      <c r="B704">
        <v>25</v>
      </c>
      <c r="C704">
        <v>60000</v>
      </c>
      <c r="D704" t="s">
        <v>12</v>
      </c>
      <c r="E704" t="s">
        <v>25</v>
      </c>
      <c r="F704" t="s">
        <v>14</v>
      </c>
      <c r="G704">
        <v>2018</v>
      </c>
      <c r="H704" s="1">
        <v>43195</v>
      </c>
      <c r="I704" t="s">
        <v>15</v>
      </c>
      <c r="J704" t="s">
        <v>23</v>
      </c>
      <c r="K704">
        <v>1</v>
      </c>
      <c r="L704" t="str">
        <f>IF(AND(C704&gt; Sheet1!B710,K704&lt;3), "Misaligned","Aligned")</f>
        <v>Misaligned</v>
      </c>
    </row>
    <row r="705" spans="1:12" x14ac:dyDescent="0.3">
      <c r="A705" t="s">
        <v>41</v>
      </c>
      <c r="B705">
        <v>50</v>
      </c>
      <c r="C705">
        <v>55000</v>
      </c>
      <c r="D705" t="s">
        <v>12</v>
      </c>
      <c r="E705" t="s">
        <v>29</v>
      </c>
      <c r="F705" t="s">
        <v>39</v>
      </c>
      <c r="G705">
        <v>2020</v>
      </c>
      <c r="H705" s="1">
        <v>43845</v>
      </c>
      <c r="I705" t="s">
        <v>26</v>
      </c>
      <c r="J705" t="s">
        <v>16</v>
      </c>
      <c r="K705">
        <v>2</v>
      </c>
      <c r="L705" t="str">
        <f>IF(AND(C705&gt; Sheet1!B711,K705&lt;3), "Misaligned","Aligned")</f>
        <v>Misaligned</v>
      </c>
    </row>
    <row r="706" spans="1:12" x14ac:dyDescent="0.3">
      <c r="A706" t="s">
        <v>42</v>
      </c>
      <c r="B706">
        <v>25</v>
      </c>
      <c r="C706">
        <v>70000</v>
      </c>
      <c r="D706" t="s">
        <v>19</v>
      </c>
      <c r="E706" t="s">
        <v>33</v>
      </c>
      <c r="F706" t="s">
        <v>39</v>
      </c>
      <c r="G706">
        <v>2019</v>
      </c>
      <c r="H706" s="1">
        <v>43800</v>
      </c>
      <c r="I706" t="s">
        <v>37</v>
      </c>
      <c r="J706" t="s">
        <v>27</v>
      </c>
      <c r="K706">
        <v>3</v>
      </c>
      <c r="L706" t="str">
        <f>IF(AND(C706&gt; Sheet1!B712,K706&lt;3), "Misaligned","Aligned")</f>
        <v>Aligned</v>
      </c>
    </row>
    <row r="707" spans="1:12" x14ac:dyDescent="0.3">
      <c r="A707" t="s">
        <v>42</v>
      </c>
      <c r="B707" t="s">
        <v>18</v>
      </c>
      <c r="C707" t="s">
        <v>18</v>
      </c>
      <c r="D707" t="s">
        <v>32</v>
      </c>
      <c r="E707" t="s">
        <v>13</v>
      </c>
      <c r="F707" t="s">
        <v>36</v>
      </c>
      <c r="G707">
        <v>2020</v>
      </c>
      <c r="H707" s="1">
        <v>43881</v>
      </c>
      <c r="I707" t="s">
        <v>22</v>
      </c>
      <c r="J707" t="s">
        <v>23</v>
      </c>
      <c r="K707">
        <v>1</v>
      </c>
      <c r="L707" t="str">
        <f>IF(AND(C707&gt; Sheet1!B713,K707&lt;3), "Misaligned","Aligned")</f>
        <v>Misaligned</v>
      </c>
    </row>
    <row r="708" spans="1:12" x14ac:dyDescent="0.3">
      <c r="A708" t="s">
        <v>42</v>
      </c>
      <c r="B708">
        <v>50</v>
      </c>
      <c r="C708">
        <v>70000</v>
      </c>
      <c r="D708" t="s">
        <v>12</v>
      </c>
      <c r="E708" t="s">
        <v>20</v>
      </c>
      <c r="F708" t="s">
        <v>36</v>
      </c>
      <c r="G708">
        <v>2018</v>
      </c>
      <c r="H708" s="1">
        <v>43195</v>
      </c>
      <c r="I708" t="s">
        <v>15</v>
      </c>
      <c r="J708" t="s">
        <v>30</v>
      </c>
      <c r="K708">
        <v>5</v>
      </c>
      <c r="L708" t="str">
        <f>IF(AND(C708&gt; Sheet1!B714,K708&lt;3), "Misaligned","Aligned")</f>
        <v>Aligned</v>
      </c>
    </row>
    <row r="709" spans="1:12" x14ac:dyDescent="0.3">
      <c r="A709" t="s">
        <v>35</v>
      </c>
      <c r="B709">
        <v>50</v>
      </c>
      <c r="C709" t="s">
        <v>18</v>
      </c>
      <c r="D709" t="s">
        <v>32</v>
      </c>
      <c r="E709" t="s">
        <v>25</v>
      </c>
      <c r="F709" t="s">
        <v>21</v>
      </c>
      <c r="G709">
        <v>2020</v>
      </c>
      <c r="H709" s="1">
        <v>43881</v>
      </c>
      <c r="I709" t="s">
        <v>22</v>
      </c>
      <c r="J709" t="s">
        <v>38</v>
      </c>
      <c r="K709">
        <v>4</v>
      </c>
      <c r="L709" t="str">
        <f>IF(AND(C709&gt; Sheet1!B715,K709&lt;3), "Misaligned","Aligned")</f>
        <v>Aligned</v>
      </c>
    </row>
    <row r="710" spans="1:12" x14ac:dyDescent="0.3">
      <c r="A710" t="s">
        <v>42</v>
      </c>
      <c r="B710">
        <v>40</v>
      </c>
      <c r="C710">
        <v>70000</v>
      </c>
      <c r="D710" t="s">
        <v>32</v>
      </c>
      <c r="E710" t="s">
        <v>20</v>
      </c>
      <c r="F710" t="s">
        <v>40</v>
      </c>
      <c r="G710">
        <v>2019</v>
      </c>
      <c r="H710" s="1">
        <v>43800</v>
      </c>
      <c r="I710" t="s">
        <v>37</v>
      </c>
      <c r="J710" t="s">
        <v>38</v>
      </c>
      <c r="K710">
        <v>4</v>
      </c>
      <c r="L710" t="str">
        <f>IF(AND(C710&gt; Sheet1!B716,K710&lt;3), "Misaligned","Aligned")</f>
        <v>Aligned</v>
      </c>
    </row>
    <row r="711" spans="1:12" x14ac:dyDescent="0.3">
      <c r="A711" t="s">
        <v>17</v>
      </c>
      <c r="B711">
        <v>40</v>
      </c>
      <c r="C711">
        <v>55000</v>
      </c>
      <c r="D711" t="s">
        <v>19</v>
      </c>
      <c r="E711" t="s">
        <v>33</v>
      </c>
      <c r="F711" t="s">
        <v>36</v>
      </c>
      <c r="G711">
        <v>2018</v>
      </c>
      <c r="H711" s="1">
        <v>43195</v>
      </c>
      <c r="I711" t="s">
        <v>15</v>
      </c>
      <c r="J711" t="s">
        <v>38</v>
      </c>
      <c r="K711">
        <v>4</v>
      </c>
      <c r="L711" t="str">
        <f>IF(AND(C711&gt; Sheet1!B717,K711&lt;3), "Misaligned","Aligned")</f>
        <v>Aligned</v>
      </c>
    </row>
    <row r="712" spans="1:12" x14ac:dyDescent="0.3">
      <c r="A712" t="s">
        <v>44</v>
      </c>
      <c r="B712">
        <v>30</v>
      </c>
      <c r="C712" t="s">
        <v>18</v>
      </c>
      <c r="D712" t="s">
        <v>19</v>
      </c>
      <c r="E712" t="s">
        <v>25</v>
      </c>
      <c r="F712" t="s">
        <v>39</v>
      </c>
      <c r="G712">
        <v>2018</v>
      </c>
      <c r="H712" s="1">
        <v>43195</v>
      </c>
      <c r="I712" t="s">
        <v>15</v>
      </c>
      <c r="J712" t="s">
        <v>27</v>
      </c>
      <c r="K712">
        <v>3</v>
      </c>
      <c r="L712" t="str">
        <f>IF(AND(C712&gt; Sheet1!B718,K712&lt;3), "Misaligned","Aligned")</f>
        <v>Aligned</v>
      </c>
    </row>
    <row r="713" spans="1:12" x14ac:dyDescent="0.3">
      <c r="A713" t="s">
        <v>41</v>
      </c>
      <c r="B713">
        <v>35</v>
      </c>
      <c r="C713" t="s">
        <v>18</v>
      </c>
      <c r="D713" t="s">
        <v>19</v>
      </c>
      <c r="E713" t="s">
        <v>20</v>
      </c>
      <c r="F713" t="s">
        <v>36</v>
      </c>
      <c r="G713">
        <v>2020</v>
      </c>
      <c r="H713" s="1">
        <v>43881</v>
      </c>
      <c r="I713" t="s">
        <v>22</v>
      </c>
      <c r="J713" t="s">
        <v>30</v>
      </c>
      <c r="K713">
        <v>5</v>
      </c>
      <c r="L713" t="str">
        <f>IF(AND(C713&gt; Sheet1!B719,K713&lt;3), "Misaligned","Aligned")</f>
        <v>Aligned</v>
      </c>
    </row>
    <row r="714" spans="1:12" x14ac:dyDescent="0.3">
      <c r="A714" t="s">
        <v>43</v>
      </c>
      <c r="B714">
        <v>40</v>
      </c>
      <c r="C714">
        <v>65000</v>
      </c>
      <c r="D714" t="s">
        <v>19</v>
      </c>
      <c r="E714" t="s">
        <v>33</v>
      </c>
      <c r="F714" t="s">
        <v>14</v>
      </c>
      <c r="G714">
        <v>2020</v>
      </c>
      <c r="H714" s="1">
        <v>43881</v>
      </c>
      <c r="I714" t="s">
        <v>22</v>
      </c>
      <c r="J714" t="s">
        <v>23</v>
      </c>
      <c r="K714">
        <v>1</v>
      </c>
      <c r="L714" t="str">
        <f>IF(AND(C714&gt; Sheet1!B720,K714&lt;3), "Misaligned","Aligned")</f>
        <v>Misaligned</v>
      </c>
    </row>
    <row r="715" spans="1:12" x14ac:dyDescent="0.3">
      <c r="A715" t="s">
        <v>24</v>
      </c>
      <c r="B715">
        <v>25</v>
      </c>
      <c r="C715">
        <v>65000</v>
      </c>
      <c r="D715" t="s">
        <v>19</v>
      </c>
      <c r="E715" t="s">
        <v>13</v>
      </c>
      <c r="F715" t="s">
        <v>40</v>
      </c>
      <c r="G715">
        <v>2020</v>
      </c>
      <c r="H715" s="1">
        <v>43845</v>
      </c>
      <c r="I715" t="s">
        <v>26</v>
      </c>
      <c r="J715" t="s">
        <v>23</v>
      </c>
      <c r="K715">
        <v>1</v>
      </c>
      <c r="L715" t="str">
        <f>IF(AND(C715&gt; Sheet1!B721,K715&lt;3), "Misaligned","Aligned")</f>
        <v>Misaligned</v>
      </c>
    </row>
    <row r="716" spans="1:12" x14ac:dyDescent="0.3">
      <c r="A716" t="s">
        <v>11</v>
      </c>
      <c r="B716">
        <v>40</v>
      </c>
      <c r="C716">
        <v>50000</v>
      </c>
      <c r="D716" t="s">
        <v>19</v>
      </c>
      <c r="E716" t="s">
        <v>33</v>
      </c>
      <c r="F716" t="s">
        <v>21</v>
      </c>
      <c r="G716">
        <v>2019</v>
      </c>
      <c r="H716" s="1">
        <v>43800</v>
      </c>
      <c r="I716" t="s">
        <v>37</v>
      </c>
      <c r="J716" t="s">
        <v>38</v>
      </c>
      <c r="K716">
        <v>4</v>
      </c>
      <c r="L716" t="str">
        <f>IF(AND(C716&gt; Sheet1!B722,K716&lt;3), "Misaligned","Aligned")</f>
        <v>Aligned</v>
      </c>
    </row>
    <row r="717" spans="1:12" x14ac:dyDescent="0.3">
      <c r="A717" t="s">
        <v>31</v>
      </c>
      <c r="B717">
        <v>30</v>
      </c>
      <c r="C717">
        <v>70000</v>
      </c>
      <c r="D717" t="s">
        <v>19</v>
      </c>
      <c r="E717" t="s">
        <v>25</v>
      </c>
      <c r="F717" t="s">
        <v>14</v>
      </c>
      <c r="G717">
        <v>2020</v>
      </c>
      <c r="H717" s="1">
        <v>43845</v>
      </c>
      <c r="I717" t="s">
        <v>26</v>
      </c>
      <c r="J717" t="s">
        <v>30</v>
      </c>
      <c r="K717">
        <v>5</v>
      </c>
      <c r="L717" t="str">
        <f>IF(AND(C717&gt; Sheet1!B723,K717&lt;3), "Misaligned","Aligned")</f>
        <v>Aligned</v>
      </c>
    </row>
    <row r="718" spans="1:12" x14ac:dyDescent="0.3">
      <c r="A718" t="s">
        <v>35</v>
      </c>
      <c r="B718">
        <v>50</v>
      </c>
      <c r="C718">
        <v>65000</v>
      </c>
      <c r="D718" t="s">
        <v>19</v>
      </c>
      <c r="E718" t="s">
        <v>29</v>
      </c>
      <c r="F718" t="s">
        <v>14</v>
      </c>
      <c r="G718">
        <v>2018</v>
      </c>
      <c r="H718" s="1">
        <v>43195</v>
      </c>
      <c r="I718" t="s">
        <v>15</v>
      </c>
      <c r="J718" t="s">
        <v>30</v>
      </c>
      <c r="K718">
        <v>5</v>
      </c>
      <c r="L718" t="str">
        <f>IF(AND(C718&gt; Sheet1!B724,K718&lt;3), "Misaligned","Aligned")</f>
        <v>Aligned</v>
      </c>
    </row>
    <row r="719" spans="1:12" x14ac:dyDescent="0.3">
      <c r="A719" t="s">
        <v>43</v>
      </c>
      <c r="B719">
        <v>30</v>
      </c>
      <c r="C719">
        <v>50000</v>
      </c>
      <c r="D719" t="s">
        <v>12</v>
      </c>
      <c r="E719" t="s">
        <v>13</v>
      </c>
      <c r="F719" t="s">
        <v>40</v>
      </c>
      <c r="G719">
        <v>2020</v>
      </c>
      <c r="H719" s="1">
        <v>43881</v>
      </c>
      <c r="I719" t="s">
        <v>22</v>
      </c>
      <c r="J719" t="s">
        <v>30</v>
      </c>
      <c r="K719">
        <v>5</v>
      </c>
      <c r="L719" t="str">
        <f>IF(AND(C719&gt; Sheet1!B725,K719&lt;3), "Misaligned","Aligned")</f>
        <v>Aligned</v>
      </c>
    </row>
    <row r="720" spans="1:12" x14ac:dyDescent="0.3">
      <c r="A720" t="s">
        <v>28</v>
      </c>
      <c r="B720">
        <v>50</v>
      </c>
      <c r="C720">
        <v>65000</v>
      </c>
      <c r="D720" t="s">
        <v>32</v>
      </c>
      <c r="E720" t="s">
        <v>20</v>
      </c>
      <c r="F720" t="s">
        <v>21</v>
      </c>
      <c r="G720">
        <v>2018</v>
      </c>
      <c r="H720" s="1">
        <v>43195</v>
      </c>
      <c r="I720" t="s">
        <v>15</v>
      </c>
      <c r="J720" t="s">
        <v>16</v>
      </c>
      <c r="K720">
        <v>2</v>
      </c>
      <c r="L720" t="str">
        <f>IF(AND(C720&gt; Sheet1!B726,K720&lt;3), "Misaligned","Aligned")</f>
        <v>Misaligned</v>
      </c>
    </row>
    <row r="721" spans="1:12" x14ac:dyDescent="0.3">
      <c r="A721" t="s">
        <v>17</v>
      </c>
      <c r="B721">
        <v>50</v>
      </c>
      <c r="C721">
        <v>70000</v>
      </c>
      <c r="D721" t="s">
        <v>19</v>
      </c>
      <c r="E721" t="s">
        <v>25</v>
      </c>
      <c r="F721" t="s">
        <v>39</v>
      </c>
      <c r="G721">
        <v>2018</v>
      </c>
      <c r="H721" s="1">
        <v>43195</v>
      </c>
      <c r="I721" t="s">
        <v>15</v>
      </c>
      <c r="J721" t="s">
        <v>16</v>
      </c>
      <c r="K721">
        <v>2</v>
      </c>
      <c r="L721" t="str">
        <f>IF(AND(C721&gt; Sheet1!B727,K721&lt;3), "Misaligned","Aligned")</f>
        <v>Misaligned</v>
      </c>
    </row>
    <row r="722" spans="1:12" x14ac:dyDescent="0.3">
      <c r="A722" t="s">
        <v>31</v>
      </c>
      <c r="B722">
        <v>35</v>
      </c>
      <c r="C722" t="s">
        <v>18</v>
      </c>
      <c r="D722" t="s">
        <v>19</v>
      </c>
      <c r="E722" t="s">
        <v>29</v>
      </c>
      <c r="F722" t="s">
        <v>21</v>
      </c>
      <c r="G722">
        <v>2019</v>
      </c>
      <c r="H722" s="1">
        <v>43549</v>
      </c>
      <c r="I722" t="s">
        <v>34</v>
      </c>
      <c r="J722" t="s">
        <v>38</v>
      </c>
      <c r="K722">
        <v>4</v>
      </c>
      <c r="L722" t="str">
        <f>IF(AND(C722&gt; Sheet1!B728,K722&lt;3), "Misaligned","Aligned")</f>
        <v>Aligned</v>
      </c>
    </row>
    <row r="723" spans="1:12" x14ac:dyDescent="0.3">
      <c r="A723" t="s">
        <v>24</v>
      </c>
      <c r="B723">
        <v>40</v>
      </c>
      <c r="C723">
        <v>60000</v>
      </c>
      <c r="D723" t="s">
        <v>32</v>
      </c>
      <c r="E723" t="s">
        <v>33</v>
      </c>
      <c r="F723" t="s">
        <v>36</v>
      </c>
      <c r="G723">
        <v>2019</v>
      </c>
      <c r="H723" s="1">
        <v>43549</v>
      </c>
      <c r="I723" t="s">
        <v>34</v>
      </c>
      <c r="J723" t="s">
        <v>30</v>
      </c>
      <c r="K723">
        <v>5</v>
      </c>
      <c r="L723" t="str">
        <f>IF(AND(C723&gt; Sheet1!B729,K723&lt;3), "Misaligned","Aligned")</f>
        <v>Aligned</v>
      </c>
    </row>
    <row r="724" spans="1:12" x14ac:dyDescent="0.3">
      <c r="A724" t="s">
        <v>43</v>
      </c>
      <c r="B724">
        <v>25</v>
      </c>
      <c r="C724">
        <v>70000</v>
      </c>
      <c r="D724" t="s">
        <v>12</v>
      </c>
      <c r="E724" t="s">
        <v>29</v>
      </c>
      <c r="F724" t="s">
        <v>14</v>
      </c>
      <c r="G724">
        <v>2018</v>
      </c>
      <c r="H724" s="1">
        <v>43195</v>
      </c>
      <c r="I724" t="s">
        <v>15</v>
      </c>
      <c r="J724" t="s">
        <v>30</v>
      </c>
      <c r="K724">
        <v>5</v>
      </c>
      <c r="L724" t="str">
        <f>IF(AND(C724&gt; Sheet1!B730,K724&lt;3), "Misaligned","Aligned")</f>
        <v>Aligned</v>
      </c>
    </row>
    <row r="725" spans="1:12" x14ac:dyDescent="0.3">
      <c r="A725" t="s">
        <v>31</v>
      </c>
      <c r="B725">
        <v>25</v>
      </c>
      <c r="C725">
        <v>55000</v>
      </c>
      <c r="D725" t="s">
        <v>32</v>
      </c>
      <c r="E725" t="s">
        <v>25</v>
      </c>
      <c r="F725" t="s">
        <v>36</v>
      </c>
      <c r="G725">
        <v>2020</v>
      </c>
      <c r="H725" s="1">
        <v>43881</v>
      </c>
      <c r="I725" t="s">
        <v>22</v>
      </c>
      <c r="J725" t="s">
        <v>23</v>
      </c>
      <c r="K725">
        <v>1</v>
      </c>
      <c r="L725" t="str">
        <f>IF(AND(C725&gt; Sheet1!B731,K725&lt;3), "Misaligned","Aligned")</f>
        <v>Misaligned</v>
      </c>
    </row>
    <row r="726" spans="1:12" x14ac:dyDescent="0.3">
      <c r="A726" t="s">
        <v>43</v>
      </c>
      <c r="B726" t="s">
        <v>18</v>
      </c>
      <c r="C726">
        <v>65000</v>
      </c>
      <c r="D726" t="s">
        <v>32</v>
      </c>
      <c r="E726" t="s">
        <v>25</v>
      </c>
      <c r="F726" t="s">
        <v>39</v>
      </c>
      <c r="G726">
        <v>2018</v>
      </c>
      <c r="H726" s="1">
        <v>43195</v>
      </c>
      <c r="I726" t="s">
        <v>15</v>
      </c>
      <c r="J726" t="s">
        <v>23</v>
      </c>
      <c r="K726">
        <v>1</v>
      </c>
      <c r="L726" t="str">
        <f>IF(AND(C726&gt; Sheet1!B732,K726&lt;3), "Misaligned","Aligned")</f>
        <v>Misaligned</v>
      </c>
    </row>
    <row r="727" spans="1:12" x14ac:dyDescent="0.3">
      <c r="A727" t="s">
        <v>17</v>
      </c>
      <c r="B727">
        <v>50</v>
      </c>
      <c r="C727">
        <v>65000</v>
      </c>
      <c r="D727" t="s">
        <v>19</v>
      </c>
      <c r="E727" t="s">
        <v>29</v>
      </c>
      <c r="F727" t="s">
        <v>36</v>
      </c>
      <c r="G727">
        <v>2019</v>
      </c>
      <c r="H727" s="1">
        <v>43549</v>
      </c>
      <c r="I727" t="s">
        <v>34</v>
      </c>
      <c r="J727" t="s">
        <v>38</v>
      </c>
      <c r="K727">
        <v>4</v>
      </c>
      <c r="L727" t="str">
        <f>IF(AND(C727&gt; Sheet1!B733,K727&lt;3), "Misaligned","Aligned")</f>
        <v>Aligned</v>
      </c>
    </row>
    <row r="728" spans="1:12" x14ac:dyDescent="0.3">
      <c r="A728" t="s">
        <v>24</v>
      </c>
      <c r="B728">
        <v>25</v>
      </c>
      <c r="C728" t="s">
        <v>18</v>
      </c>
      <c r="D728" t="s">
        <v>32</v>
      </c>
      <c r="E728" t="s">
        <v>33</v>
      </c>
      <c r="F728" t="s">
        <v>21</v>
      </c>
      <c r="G728">
        <v>2020</v>
      </c>
      <c r="H728" s="1">
        <v>43881</v>
      </c>
      <c r="I728" t="s">
        <v>22</v>
      </c>
      <c r="J728" t="s">
        <v>30</v>
      </c>
      <c r="K728">
        <v>5</v>
      </c>
      <c r="L728" t="str">
        <f>IF(AND(C728&gt; Sheet1!B734,K728&lt;3), "Misaligned","Aligned")</f>
        <v>Aligned</v>
      </c>
    </row>
    <row r="729" spans="1:12" x14ac:dyDescent="0.3">
      <c r="A729" t="s">
        <v>28</v>
      </c>
      <c r="B729">
        <v>35</v>
      </c>
      <c r="C729">
        <v>55000</v>
      </c>
      <c r="D729" t="s">
        <v>32</v>
      </c>
      <c r="E729" t="s">
        <v>29</v>
      </c>
      <c r="F729" t="s">
        <v>36</v>
      </c>
      <c r="G729">
        <v>2018</v>
      </c>
      <c r="H729" s="1">
        <v>43195</v>
      </c>
      <c r="I729" t="s">
        <v>15</v>
      </c>
      <c r="J729" t="s">
        <v>38</v>
      </c>
      <c r="K729">
        <v>4</v>
      </c>
      <c r="L729" t="str">
        <f>IF(AND(C729&gt; Sheet1!B735,K729&lt;3), "Misaligned","Aligned")</f>
        <v>Aligned</v>
      </c>
    </row>
    <row r="730" spans="1:12" x14ac:dyDescent="0.3">
      <c r="A730" t="s">
        <v>42</v>
      </c>
      <c r="B730">
        <v>50</v>
      </c>
      <c r="C730" t="s">
        <v>18</v>
      </c>
      <c r="D730" t="s">
        <v>19</v>
      </c>
      <c r="E730" t="s">
        <v>25</v>
      </c>
      <c r="F730" t="s">
        <v>39</v>
      </c>
      <c r="G730">
        <v>2019</v>
      </c>
      <c r="H730" s="1">
        <v>43800</v>
      </c>
      <c r="I730" t="s">
        <v>37</v>
      </c>
      <c r="J730" t="s">
        <v>23</v>
      </c>
      <c r="K730">
        <v>1</v>
      </c>
      <c r="L730" t="str">
        <f>IF(AND(C730&gt; Sheet1!B736,K730&lt;3), "Misaligned","Aligned")</f>
        <v>Misaligned</v>
      </c>
    </row>
    <row r="731" spans="1:12" x14ac:dyDescent="0.3">
      <c r="A731" t="s">
        <v>41</v>
      </c>
      <c r="B731">
        <v>35</v>
      </c>
      <c r="C731">
        <v>55000</v>
      </c>
      <c r="D731" t="s">
        <v>19</v>
      </c>
      <c r="E731" t="s">
        <v>25</v>
      </c>
      <c r="F731" t="s">
        <v>39</v>
      </c>
      <c r="G731">
        <v>2019</v>
      </c>
      <c r="H731" s="1">
        <v>43800</v>
      </c>
      <c r="I731" t="s">
        <v>37</v>
      </c>
      <c r="J731" t="s">
        <v>23</v>
      </c>
      <c r="K731">
        <v>1</v>
      </c>
      <c r="L731" t="str">
        <f>IF(AND(C731&gt; Sheet1!B737,K731&lt;3), "Misaligned","Aligned")</f>
        <v>Misaligned</v>
      </c>
    </row>
    <row r="732" spans="1:12" x14ac:dyDescent="0.3">
      <c r="A732" t="s">
        <v>28</v>
      </c>
      <c r="B732">
        <v>25</v>
      </c>
      <c r="C732">
        <v>60000</v>
      </c>
      <c r="D732" t="s">
        <v>19</v>
      </c>
      <c r="E732" t="s">
        <v>20</v>
      </c>
      <c r="F732" t="s">
        <v>39</v>
      </c>
      <c r="G732">
        <v>2018</v>
      </c>
      <c r="H732" s="1">
        <v>43195</v>
      </c>
      <c r="I732" t="s">
        <v>15</v>
      </c>
      <c r="J732" t="s">
        <v>16</v>
      </c>
      <c r="K732">
        <v>2</v>
      </c>
      <c r="L732" t="str">
        <f>IF(AND(C732&gt; Sheet1!B738,K732&lt;3), "Misaligned","Aligned")</f>
        <v>Misaligned</v>
      </c>
    </row>
    <row r="733" spans="1:12" x14ac:dyDescent="0.3">
      <c r="A733" t="s">
        <v>42</v>
      </c>
      <c r="B733">
        <v>25</v>
      </c>
      <c r="C733">
        <v>65000</v>
      </c>
      <c r="D733" t="s">
        <v>19</v>
      </c>
      <c r="E733" t="s">
        <v>20</v>
      </c>
      <c r="F733" t="s">
        <v>21</v>
      </c>
      <c r="G733">
        <v>2020</v>
      </c>
      <c r="H733" s="1">
        <v>43881</v>
      </c>
      <c r="I733" t="s">
        <v>22</v>
      </c>
      <c r="J733" t="s">
        <v>38</v>
      </c>
      <c r="K733">
        <v>4</v>
      </c>
      <c r="L733" t="str">
        <f>IF(AND(C733&gt; Sheet1!B739,K733&lt;3), "Misaligned","Aligned")</f>
        <v>Aligned</v>
      </c>
    </row>
    <row r="734" spans="1:12" x14ac:dyDescent="0.3">
      <c r="A734" t="s">
        <v>35</v>
      </c>
      <c r="B734" t="s">
        <v>18</v>
      </c>
      <c r="C734">
        <v>65000</v>
      </c>
      <c r="D734" t="s">
        <v>32</v>
      </c>
      <c r="E734" t="s">
        <v>13</v>
      </c>
      <c r="F734" t="s">
        <v>39</v>
      </c>
      <c r="G734">
        <v>2018</v>
      </c>
      <c r="H734" s="1">
        <v>43195</v>
      </c>
      <c r="I734" t="s">
        <v>15</v>
      </c>
      <c r="J734" t="s">
        <v>38</v>
      </c>
      <c r="K734">
        <v>4</v>
      </c>
      <c r="L734" t="str">
        <f>IF(AND(C734&gt; Sheet1!B740,K734&lt;3), "Misaligned","Aligned")</f>
        <v>Aligned</v>
      </c>
    </row>
    <row r="735" spans="1:12" x14ac:dyDescent="0.3">
      <c r="A735" t="s">
        <v>44</v>
      </c>
      <c r="B735">
        <v>25</v>
      </c>
      <c r="C735">
        <v>60000</v>
      </c>
      <c r="D735" t="s">
        <v>32</v>
      </c>
      <c r="E735" t="s">
        <v>25</v>
      </c>
      <c r="F735" t="s">
        <v>14</v>
      </c>
      <c r="G735">
        <v>2018</v>
      </c>
      <c r="H735" s="1">
        <v>43195</v>
      </c>
      <c r="I735" t="s">
        <v>15</v>
      </c>
      <c r="J735" t="s">
        <v>30</v>
      </c>
      <c r="K735">
        <v>5</v>
      </c>
      <c r="L735" t="str">
        <f>IF(AND(C735&gt; Sheet1!B741,K735&lt;3), "Misaligned","Aligned")</f>
        <v>Aligned</v>
      </c>
    </row>
    <row r="736" spans="1:12" x14ac:dyDescent="0.3">
      <c r="A736" t="s">
        <v>11</v>
      </c>
      <c r="B736">
        <v>50</v>
      </c>
      <c r="C736">
        <v>50000</v>
      </c>
      <c r="D736" t="s">
        <v>12</v>
      </c>
      <c r="E736" t="s">
        <v>20</v>
      </c>
      <c r="F736" t="s">
        <v>39</v>
      </c>
      <c r="G736">
        <v>2019</v>
      </c>
      <c r="H736" s="1">
        <v>43549</v>
      </c>
      <c r="I736" t="s">
        <v>34</v>
      </c>
      <c r="J736" t="s">
        <v>30</v>
      </c>
      <c r="K736">
        <v>5</v>
      </c>
      <c r="L736" t="str">
        <f>IF(AND(C736&gt; Sheet1!B742,K736&lt;3), "Misaligned","Aligned")</f>
        <v>Aligned</v>
      </c>
    </row>
    <row r="737" spans="1:12" x14ac:dyDescent="0.3">
      <c r="A737" t="s">
        <v>11</v>
      </c>
      <c r="B737">
        <v>50</v>
      </c>
      <c r="C737" t="s">
        <v>18</v>
      </c>
      <c r="D737" t="s">
        <v>12</v>
      </c>
      <c r="E737" t="s">
        <v>29</v>
      </c>
      <c r="F737" t="s">
        <v>36</v>
      </c>
      <c r="G737">
        <v>2019</v>
      </c>
      <c r="H737" s="1">
        <v>43800</v>
      </c>
      <c r="I737" t="s">
        <v>37</v>
      </c>
      <c r="J737" t="s">
        <v>16</v>
      </c>
      <c r="K737">
        <v>2</v>
      </c>
      <c r="L737" t="str">
        <f>IF(AND(C737&gt; Sheet1!B743,K737&lt;3), "Misaligned","Aligned")</f>
        <v>Misaligned</v>
      </c>
    </row>
    <row r="738" spans="1:12" x14ac:dyDescent="0.3">
      <c r="A738" t="s">
        <v>41</v>
      </c>
      <c r="B738">
        <v>50</v>
      </c>
      <c r="C738">
        <v>60000</v>
      </c>
      <c r="D738" t="s">
        <v>32</v>
      </c>
      <c r="E738" t="s">
        <v>33</v>
      </c>
      <c r="F738" t="s">
        <v>36</v>
      </c>
      <c r="G738">
        <v>2019</v>
      </c>
      <c r="H738" s="1">
        <v>43549</v>
      </c>
      <c r="I738" t="s">
        <v>34</v>
      </c>
      <c r="J738" t="s">
        <v>27</v>
      </c>
      <c r="K738">
        <v>3</v>
      </c>
      <c r="L738" t="str">
        <f>IF(AND(C738&gt; Sheet1!B744,K738&lt;3), "Misaligned","Aligned")</f>
        <v>Aligned</v>
      </c>
    </row>
    <row r="739" spans="1:12" x14ac:dyDescent="0.3">
      <c r="A739" t="s">
        <v>24</v>
      </c>
      <c r="B739" t="s">
        <v>18</v>
      </c>
      <c r="C739" t="s">
        <v>18</v>
      </c>
      <c r="D739" t="s">
        <v>12</v>
      </c>
      <c r="E739" t="s">
        <v>29</v>
      </c>
      <c r="F739" t="s">
        <v>36</v>
      </c>
      <c r="G739">
        <v>2019</v>
      </c>
      <c r="H739" s="1">
        <v>43549</v>
      </c>
      <c r="I739" t="s">
        <v>34</v>
      </c>
      <c r="J739" t="s">
        <v>27</v>
      </c>
      <c r="K739">
        <v>3</v>
      </c>
      <c r="L739" t="str">
        <f>IF(AND(C739&gt; Sheet1!B745,K739&lt;3), "Misaligned","Aligned")</f>
        <v>Aligned</v>
      </c>
    </row>
    <row r="740" spans="1:12" x14ac:dyDescent="0.3">
      <c r="A740" t="s">
        <v>17</v>
      </c>
      <c r="B740" t="s">
        <v>18</v>
      </c>
      <c r="C740">
        <v>70000</v>
      </c>
      <c r="D740" t="s">
        <v>32</v>
      </c>
      <c r="E740" t="s">
        <v>33</v>
      </c>
      <c r="F740" t="s">
        <v>21</v>
      </c>
      <c r="G740">
        <v>2018</v>
      </c>
      <c r="H740" s="1">
        <v>43195</v>
      </c>
      <c r="I740" t="s">
        <v>15</v>
      </c>
      <c r="J740" t="s">
        <v>27</v>
      </c>
      <c r="K740">
        <v>3</v>
      </c>
      <c r="L740" t="str">
        <f>IF(AND(C740&gt; Sheet1!B746,K740&lt;3), "Misaligned","Aligned")</f>
        <v>Aligned</v>
      </c>
    </row>
    <row r="741" spans="1:12" x14ac:dyDescent="0.3">
      <c r="A741" t="s">
        <v>24</v>
      </c>
      <c r="B741">
        <v>25</v>
      </c>
      <c r="C741">
        <v>65000</v>
      </c>
      <c r="D741" t="s">
        <v>12</v>
      </c>
      <c r="E741" t="s">
        <v>20</v>
      </c>
      <c r="F741" t="s">
        <v>36</v>
      </c>
      <c r="G741">
        <v>2019</v>
      </c>
      <c r="H741" s="1">
        <v>43549</v>
      </c>
      <c r="I741" t="s">
        <v>34</v>
      </c>
      <c r="J741" t="s">
        <v>38</v>
      </c>
      <c r="K741">
        <v>4</v>
      </c>
      <c r="L741" t="str">
        <f>IF(AND(C741&gt; Sheet1!B747,K741&lt;3), "Misaligned","Aligned")</f>
        <v>Aligned</v>
      </c>
    </row>
    <row r="742" spans="1:12" x14ac:dyDescent="0.3">
      <c r="A742" t="s">
        <v>17</v>
      </c>
      <c r="B742">
        <v>30</v>
      </c>
      <c r="C742" t="s">
        <v>18</v>
      </c>
      <c r="D742" t="s">
        <v>19</v>
      </c>
      <c r="E742" t="s">
        <v>13</v>
      </c>
      <c r="F742" t="s">
        <v>21</v>
      </c>
      <c r="G742">
        <v>2019</v>
      </c>
      <c r="H742" s="1">
        <v>43800</v>
      </c>
      <c r="I742" t="s">
        <v>37</v>
      </c>
      <c r="J742" t="s">
        <v>38</v>
      </c>
      <c r="K742">
        <v>4</v>
      </c>
      <c r="L742" t="str">
        <f>IF(AND(C742&gt; Sheet1!B748,K742&lt;3), "Misaligned","Aligned")</f>
        <v>Aligned</v>
      </c>
    </row>
    <row r="743" spans="1:12" x14ac:dyDescent="0.3">
      <c r="A743" t="s">
        <v>24</v>
      </c>
      <c r="B743">
        <v>30</v>
      </c>
      <c r="C743">
        <v>55000</v>
      </c>
      <c r="D743" t="s">
        <v>12</v>
      </c>
      <c r="E743" t="s">
        <v>29</v>
      </c>
      <c r="F743" t="s">
        <v>21</v>
      </c>
      <c r="G743">
        <v>2019</v>
      </c>
      <c r="H743" s="1">
        <v>43549</v>
      </c>
      <c r="I743" t="s">
        <v>34</v>
      </c>
      <c r="J743" t="s">
        <v>23</v>
      </c>
      <c r="K743">
        <v>1</v>
      </c>
      <c r="L743" t="str">
        <f>IF(AND(C743&gt; Sheet1!B749,K743&lt;3), "Misaligned","Aligned")</f>
        <v>Misaligned</v>
      </c>
    </row>
    <row r="744" spans="1:12" x14ac:dyDescent="0.3">
      <c r="A744" t="s">
        <v>44</v>
      </c>
      <c r="B744" t="s">
        <v>18</v>
      </c>
      <c r="C744" t="s">
        <v>18</v>
      </c>
      <c r="D744" t="s">
        <v>19</v>
      </c>
      <c r="E744" t="s">
        <v>29</v>
      </c>
      <c r="F744" t="s">
        <v>39</v>
      </c>
      <c r="G744">
        <v>2019</v>
      </c>
      <c r="H744" s="1">
        <v>43800</v>
      </c>
      <c r="I744" t="s">
        <v>37</v>
      </c>
      <c r="J744" t="s">
        <v>38</v>
      </c>
      <c r="K744">
        <v>4</v>
      </c>
      <c r="L744" t="str">
        <f>IF(AND(C744&gt; Sheet1!B750,K744&lt;3), "Misaligned","Aligned")</f>
        <v>Aligned</v>
      </c>
    </row>
    <row r="745" spans="1:12" x14ac:dyDescent="0.3">
      <c r="A745" t="s">
        <v>35</v>
      </c>
      <c r="B745">
        <v>25</v>
      </c>
      <c r="C745">
        <v>70000</v>
      </c>
      <c r="D745" t="s">
        <v>19</v>
      </c>
      <c r="E745" t="s">
        <v>29</v>
      </c>
      <c r="F745" t="s">
        <v>14</v>
      </c>
      <c r="G745">
        <v>2019</v>
      </c>
      <c r="H745" s="1">
        <v>43549</v>
      </c>
      <c r="I745" t="s">
        <v>34</v>
      </c>
      <c r="J745" t="s">
        <v>38</v>
      </c>
      <c r="K745">
        <v>4</v>
      </c>
      <c r="L745" t="str">
        <f>IF(AND(C745&gt; Sheet1!B751,K745&lt;3), "Misaligned","Aligned")</f>
        <v>Aligned</v>
      </c>
    </row>
    <row r="746" spans="1:12" x14ac:dyDescent="0.3">
      <c r="A746" t="s">
        <v>35</v>
      </c>
      <c r="B746">
        <v>30</v>
      </c>
      <c r="C746">
        <v>65000</v>
      </c>
      <c r="D746" t="s">
        <v>19</v>
      </c>
      <c r="E746" t="s">
        <v>33</v>
      </c>
      <c r="F746" t="s">
        <v>39</v>
      </c>
      <c r="G746">
        <v>2019</v>
      </c>
      <c r="H746" s="1">
        <v>43800</v>
      </c>
      <c r="I746" t="s">
        <v>37</v>
      </c>
      <c r="J746" t="s">
        <v>38</v>
      </c>
      <c r="K746">
        <v>4</v>
      </c>
      <c r="L746" t="str">
        <f>IF(AND(C746&gt; Sheet1!B752,K746&lt;3), "Misaligned","Aligned")</f>
        <v>Aligned</v>
      </c>
    </row>
    <row r="747" spans="1:12" x14ac:dyDescent="0.3">
      <c r="A747" t="s">
        <v>42</v>
      </c>
      <c r="B747">
        <v>25</v>
      </c>
      <c r="C747">
        <v>60000</v>
      </c>
      <c r="D747" t="s">
        <v>19</v>
      </c>
      <c r="E747" t="s">
        <v>20</v>
      </c>
      <c r="F747" t="s">
        <v>39</v>
      </c>
      <c r="G747">
        <v>2019</v>
      </c>
      <c r="H747" s="1">
        <v>43549</v>
      </c>
      <c r="I747" t="s">
        <v>34</v>
      </c>
      <c r="J747" t="s">
        <v>16</v>
      </c>
      <c r="K747">
        <v>2</v>
      </c>
      <c r="L747" t="str">
        <f>IF(AND(C747&gt; Sheet1!B753,K747&lt;3), "Misaligned","Aligned")</f>
        <v>Misaligned</v>
      </c>
    </row>
    <row r="748" spans="1:12" x14ac:dyDescent="0.3">
      <c r="A748" t="s">
        <v>31</v>
      </c>
      <c r="B748">
        <v>25</v>
      </c>
      <c r="C748">
        <v>70000</v>
      </c>
      <c r="D748" t="s">
        <v>12</v>
      </c>
      <c r="E748" t="s">
        <v>29</v>
      </c>
      <c r="F748" t="s">
        <v>21</v>
      </c>
      <c r="G748">
        <v>2019</v>
      </c>
      <c r="H748" s="1">
        <v>43549</v>
      </c>
      <c r="I748" t="s">
        <v>34</v>
      </c>
      <c r="J748" t="s">
        <v>38</v>
      </c>
      <c r="K748">
        <v>4</v>
      </c>
      <c r="L748" t="str">
        <f>IF(AND(C748&gt; Sheet1!B754,K748&lt;3), "Misaligned","Aligned")</f>
        <v>Aligned</v>
      </c>
    </row>
    <row r="749" spans="1:12" x14ac:dyDescent="0.3">
      <c r="A749" t="s">
        <v>35</v>
      </c>
      <c r="B749">
        <v>25</v>
      </c>
      <c r="C749">
        <v>65000</v>
      </c>
      <c r="D749" t="s">
        <v>32</v>
      </c>
      <c r="E749" t="s">
        <v>29</v>
      </c>
      <c r="F749" t="s">
        <v>21</v>
      </c>
      <c r="G749">
        <v>2020</v>
      </c>
      <c r="H749" s="1">
        <v>43881</v>
      </c>
      <c r="I749" t="s">
        <v>22</v>
      </c>
      <c r="J749" t="s">
        <v>30</v>
      </c>
      <c r="K749">
        <v>5</v>
      </c>
      <c r="L749" t="str">
        <f>IF(AND(C749&gt; Sheet1!B755,K749&lt;3), "Misaligned","Aligned")</f>
        <v>Aligned</v>
      </c>
    </row>
    <row r="750" spans="1:12" x14ac:dyDescent="0.3">
      <c r="A750" t="s">
        <v>35</v>
      </c>
      <c r="B750">
        <v>40</v>
      </c>
      <c r="C750" t="s">
        <v>18</v>
      </c>
      <c r="D750" t="s">
        <v>19</v>
      </c>
      <c r="E750" t="s">
        <v>13</v>
      </c>
      <c r="F750" t="s">
        <v>36</v>
      </c>
      <c r="G750">
        <v>2019</v>
      </c>
      <c r="H750" s="1">
        <v>43800</v>
      </c>
      <c r="I750" t="s">
        <v>37</v>
      </c>
      <c r="J750" t="s">
        <v>30</v>
      </c>
      <c r="K750">
        <v>5</v>
      </c>
      <c r="L750" t="str">
        <f>IF(AND(C750&gt; Sheet1!B756,K750&lt;3), "Misaligned","Aligned")</f>
        <v>Aligned</v>
      </c>
    </row>
    <row r="751" spans="1:12" x14ac:dyDescent="0.3">
      <c r="A751" t="s">
        <v>28</v>
      </c>
      <c r="B751">
        <v>50</v>
      </c>
      <c r="C751">
        <v>50000</v>
      </c>
      <c r="D751" t="s">
        <v>12</v>
      </c>
      <c r="E751" t="s">
        <v>13</v>
      </c>
      <c r="F751" t="s">
        <v>36</v>
      </c>
      <c r="G751">
        <v>2019</v>
      </c>
      <c r="H751" s="1">
        <v>43800</v>
      </c>
      <c r="I751" t="s">
        <v>37</v>
      </c>
      <c r="J751" t="s">
        <v>23</v>
      </c>
      <c r="K751">
        <v>1</v>
      </c>
      <c r="L751" t="str">
        <f>IF(AND(C751&gt; Sheet1!B757,K751&lt;3), "Misaligned","Aligned")</f>
        <v>Misaligned</v>
      </c>
    </row>
    <row r="752" spans="1:12" x14ac:dyDescent="0.3">
      <c r="A752" t="s">
        <v>28</v>
      </c>
      <c r="B752">
        <v>25</v>
      </c>
      <c r="C752">
        <v>50000</v>
      </c>
      <c r="D752" t="s">
        <v>19</v>
      </c>
      <c r="E752" t="s">
        <v>20</v>
      </c>
      <c r="F752" t="s">
        <v>39</v>
      </c>
      <c r="G752">
        <v>2019</v>
      </c>
      <c r="H752" s="1">
        <v>43800</v>
      </c>
      <c r="I752" t="s">
        <v>37</v>
      </c>
      <c r="J752" t="s">
        <v>16</v>
      </c>
      <c r="K752">
        <v>2</v>
      </c>
      <c r="L752" t="str">
        <f>IF(AND(C752&gt; Sheet1!B758,K752&lt;3), "Misaligned","Aligned")</f>
        <v>Misaligned</v>
      </c>
    </row>
    <row r="753" spans="1:12" x14ac:dyDescent="0.3">
      <c r="A753" t="s">
        <v>42</v>
      </c>
      <c r="B753">
        <v>40</v>
      </c>
      <c r="C753">
        <v>55000</v>
      </c>
      <c r="D753" t="s">
        <v>12</v>
      </c>
      <c r="E753" t="s">
        <v>20</v>
      </c>
      <c r="F753" t="s">
        <v>40</v>
      </c>
      <c r="G753">
        <v>2020</v>
      </c>
      <c r="H753" s="1">
        <v>43845</v>
      </c>
      <c r="I753" t="s">
        <v>26</v>
      </c>
      <c r="J753" t="s">
        <v>30</v>
      </c>
      <c r="K753">
        <v>5</v>
      </c>
      <c r="L753" t="str">
        <f>IF(AND(C753&gt; Sheet1!B759,K753&lt;3), "Misaligned","Aligned")</f>
        <v>Aligned</v>
      </c>
    </row>
    <row r="754" spans="1:12" x14ac:dyDescent="0.3">
      <c r="A754" t="s">
        <v>31</v>
      </c>
      <c r="B754" t="s">
        <v>18</v>
      </c>
      <c r="C754">
        <v>65000</v>
      </c>
      <c r="D754" t="s">
        <v>12</v>
      </c>
      <c r="E754" t="s">
        <v>25</v>
      </c>
      <c r="F754" t="s">
        <v>40</v>
      </c>
      <c r="G754">
        <v>2019</v>
      </c>
      <c r="H754" s="1">
        <v>43549</v>
      </c>
      <c r="I754" t="s">
        <v>34</v>
      </c>
      <c r="J754" t="s">
        <v>16</v>
      </c>
      <c r="K754">
        <v>2</v>
      </c>
      <c r="L754" t="str">
        <f>IF(AND(C754&gt; Sheet1!B760,K754&lt;3), "Misaligned","Aligned")</f>
        <v>Misaligned</v>
      </c>
    </row>
    <row r="755" spans="1:12" x14ac:dyDescent="0.3">
      <c r="A755" t="s">
        <v>41</v>
      </c>
      <c r="B755">
        <v>30</v>
      </c>
      <c r="C755">
        <v>50000</v>
      </c>
      <c r="D755" t="s">
        <v>12</v>
      </c>
      <c r="E755" t="s">
        <v>13</v>
      </c>
      <c r="F755" t="s">
        <v>36</v>
      </c>
      <c r="G755">
        <v>2019</v>
      </c>
      <c r="H755" s="1">
        <v>43800</v>
      </c>
      <c r="I755" t="s">
        <v>37</v>
      </c>
      <c r="J755" t="s">
        <v>16</v>
      </c>
      <c r="K755">
        <v>2</v>
      </c>
      <c r="L755" t="str">
        <f>IF(AND(C755&gt; Sheet1!B761,K755&lt;3), "Misaligned","Aligned")</f>
        <v>Misaligned</v>
      </c>
    </row>
    <row r="756" spans="1:12" x14ac:dyDescent="0.3">
      <c r="A756" t="s">
        <v>28</v>
      </c>
      <c r="B756">
        <v>50</v>
      </c>
      <c r="C756">
        <v>60000</v>
      </c>
      <c r="D756" t="s">
        <v>32</v>
      </c>
      <c r="E756" t="s">
        <v>25</v>
      </c>
      <c r="F756" t="s">
        <v>40</v>
      </c>
      <c r="G756">
        <v>2020</v>
      </c>
      <c r="H756" s="1">
        <v>43845</v>
      </c>
      <c r="I756" t="s">
        <v>26</v>
      </c>
      <c r="J756" t="s">
        <v>23</v>
      </c>
      <c r="K756">
        <v>1</v>
      </c>
      <c r="L756" t="str">
        <f>IF(AND(C756&gt; Sheet1!B762,K756&lt;3), "Misaligned","Aligned")</f>
        <v>Misaligned</v>
      </c>
    </row>
    <row r="757" spans="1:12" x14ac:dyDescent="0.3">
      <c r="A757" t="s">
        <v>41</v>
      </c>
      <c r="B757">
        <v>30</v>
      </c>
      <c r="C757">
        <v>65000</v>
      </c>
      <c r="D757" t="s">
        <v>12</v>
      </c>
      <c r="E757" t="s">
        <v>33</v>
      </c>
      <c r="F757" t="s">
        <v>36</v>
      </c>
      <c r="G757">
        <v>2020</v>
      </c>
      <c r="H757" s="1">
        <v>43881</v>
      </c>
      <c r="I757" t="s">
        <v>22</v>
      </c>
      <c r="J757" t="s">
        <v>16</v>
      </c>
      <c r="K757">
        <v>2</v>
      </c>
      <c r="L757" t="str">
        <f>IF(AND(C757&gt; Sheet1!B763,K757&lt;3), "Misaligned","Aligned")</f>
        <v>Misaligned</v>
      </c>
    </row>
    <row r="758" spans="1:12" x14ac:dyDescent="0.3">
      <c r="A758" t="s">
        <v>43</v>
      </c>
      <c r="B758">
        <v>50</v>
      </c>
      <c r="C758">
        <v>60000</v>
      </c>
      <c r="D758" t="s">
        <v>12</v>
      </c>
      <c r="E758" t="s">
        <v>25</v>
      </c>
      <c r="F758" t="s">
        <v>21</v>
      </c>
      <c r="G758">
        <v>2019</v>
      </c>
      <c r="H758" s="1">
        <v>43800</v>
      </c>
      <c r="I758" t="s">
        <v>37</v>
      </c>
      <c r="J758" t="s">
        <v>38</v>
      </c>
      <c r="K758">
        <v>4</v>
      </c>
      <c r="L758" t="str">
        <f>IF(AND(C758&gt; Sheet1!B764,K758&lt;3), "Misaligned","Aligned")</f>
        <v>Aligned</v>
      </c>
    </row>
    <row r="759" spans="1:12" x14ac:dyDescent="0.3">
      <c r="A759" t="s">
        <v>28</v>
      </c>
      <c r="B759">
        <v>30</v>
      </c>
      <c r="C759">
        <v>60000</v>
      </c>
      <c r="D759" t="s">
        <v>32</v>
      </c>
      <c r="E759" t="s">
        <v>29</v>
      </c>
      <c r="F759" t="s">
        <v>39</v>
      </c>
      <c r="G759">
        <v>2019</v>
      </c>
      <c r="H759" s="1">
        <v>43800</v>
      </c>
      <c r="I759" t="s">
        <v>37</v>
      </c>
      <c r="J759" t="s">
        <v>16</v>
      </c>
      <c r="K759">
        <v>2</v>
      </c>
      <c r="L759" t="str">
        <f>IF(AND(C759&gt; Sheet1!B765,K759&lt;3), "Misaligned","Aligned")</f>
        <v>Misaligned</v>
      </c>
    </row>
    <row r="760" spans="1:12" x14ac:dyDescent="0.3">
      <c r="A760" t="s">
        <v>44</v>
      </c>
      <c r="B760">
        <v>50</v>
      </c>
      <c r="C760">
        <v>50000</v>
      </c>
      <c r="D760" t="s">
        <v>32</v>
      </c>
      <c r="E760" t="s">
        <v>25</v>
      </c>
      <c r="F760" t="s">
        <v>14</v>
      </c>
      <c r="G760">
        <v>2020</v>
      </c>
      <c r="H760" s="1">
        <v>43845</v>
      </c>
      <c r="I760" t="s">
        <v>26</v>
      </c>
      <c r="J760" t="s">
        <v>23</v>
      </c>
      <c r="K760">
        <v>1</v>
      </c>
      <c r="L760" t="str">
        <f>IF(AND(C760&gt; Sheet1!B766,K760&lt;3), "Misaligned","Aligned")</f>
        <v>Misaligned</v>
      </c>
    </row>
    <row r="761" spans="1:12" x14ac:dyDescent="0.3">
      <c r="A761" t="s">
        <v>31</v>
      </c>
      <c r="B761">
        <v>30</v>
      </c>
      <c r="C761">
        <v>65000</v>
      </c>
      <c r="D761" t="s">
        <v>12</v>
      </c>
      <c r="E761" t="s">
        <v>20</v>
      </c>
      <c r="F761" t="s">
        <v>39</v>
      </c>
      <c r="G761">
        <v>2019</v>
      </c>
      <c r="H761" s="1">
        <v>43549</v>
      </c>
      <c r="I761" t="s">
        <v>34</v>
      </c>
      <c r="J761" t="s">
        <v>23</v>
      </c>
      <c r="K761">
        <v>1</v>
      </c>
      <c r="L761" t="str">
        <f>IF(AND(C761&gt; Sheet1!B767,K761&lt;3), "Misaligned","Aligned")</f>
        <v>Misaligned</v>
      </c>
    </row>
    <row r="762" spans="1:12" x14ac:dyDescent="0.3">
      <c r="A762" t="s">
        <v>42</v>
      </c>
      <c r="B762">
        <v>30</v>
      </c>
      <c r="C762" t="s">
        <v>18</v>
      </c>
      <c r="D762" t="s">
        <v>32</v>
      </c>
      <c r="E762" t="s">
        <v>33</v>
      </c>
      <c r="F762" t="s">
        <v>36</v>
      </c>
      <c r="G762">
        <v>2020</v>
      </c>
      <c r="H762" s="1">
        <v>43881</v>
      </c>
      <c r="I762" t="s">
        <v>22</v>
      </c>
      <c r="J762" t="s">
        <v>23</v>
      </c>
      <c r="K762">
        <v>1</v>
      </c>
      <c r="L762" t="str">
        <f>IF(AND(C762&gt; Sheet1!B768,K762&lt;3), "Misaligned","Aligned")</f>
        <v>Misaligned</v>
      </c>
    </row>
    <row r="763" spans="1:12" x14ac:dyDescent="0.3">
      <c r="A763" t="s">
        <v>43</v>
      </c>
      <c r="B763">
        <v>30</v>
      </c>
      <c r="C763">
        <v>70000</v>
      </c>
      <c r="D763" t="s">
        <v>19</v>
      </c>
      <c r="E763" t="s">
        <v>29</v>
      </c>
      <c r="F763" t="s">
        <v>36</v>
      </c>
      <c r="G763">
        <v>2019</v>
      </c>
      <c r="H763" s="1">
        <v>43800</v>
      </c>
      <c r="I763" t="s">
        <v>37</v>
      </c>
      <c r="J763" t="s">
        <v>30</v>
      </c>
      <c r="K763">
        <v>5</v>
      </c>
      <c r="L763" t="str">
        <f>IF(AND(C763&gt; Sheet1!B769,K763&lt;3), "Misaligned","Aligned")</f>
        <v>Aligned</v>
      </c>
    </row>
    <row r="764" spans="1:12" x14ac:dyDescent="0.3">
      <c r="A764" t="s">
        <v>31</v>
      </c>
      <c r="B764">
        <v>30</v>
      </c>
      <c r="C764">
        <v>50000</v>
      </c>
      <c r="D764" t="s">
        <v>19</v>
      </c>
      <c r="E764" t="s">
        <v>25</v>
      </c>
      <c r="F764" t="s">
        <v>39</v>
      </c>
      <c r="G764">
        <v>2019</v>
      </c>
      <c r="H764" s="1">
        <v>43549</v>
      </c>
      <c r="I764" t="s">
        <v>34</v>
      </c>
      <c r="J764" t="s">
        <v>38</v>
      </c>
      <c r="K764">
        <v>4</v>
      </c>
      <c r="L764" t="str">
        <f>IF(AND(C764&gt; Sheet1!B770,K764&lt;3), "Misaligned","Aligned")</f>
        <v>Aligned</v>
      </c>
    </row>
    <row r="765" spans="1:12" x14ac:dyDescent="0.3">
      <c r="A765" t="s">
        <v>44</v>
      </c>
      <c r="B765" t="s">
        <v>18</v>
      </c>
      <c r="C765">
        <v>50000</v>
      </c>
      <c r="D765" t="s">
        <v>32</v>
      </c>
      <c r="E765" t="s">
        <v>33</v>
      </c>
      <c r="F765" t="s">
        <v>36</v>
      </c>
      <c r="G765">
        <v>2020</v>
      </c>
      <c r="H765" s="1">
        <v>43881</v>
      </c>
      <c r="I765" t="s">
        <v>22</v>
      </c>
      <c r="J765" t="s">
        <v>30</v>
      </c>
      <c r="K765">
        <v>5</v>
      </c>
      <c r="L765" t="str">
        <f>IF(AND(C765&gt; Sheet1!B771,K765&lt;3), "Misaligned","Aligned")</f>
        <v>Aligned</v>
      </c>
    </row>
    <row r="766" spans="1:12" x14ac:dyDescent="0.3">
      <c r="A766" t="s">
        <v>31</v>
      </c>
      <c r="B766">
        <v>25</v>
      </c>
      <c r="C766" t="s">
        <v>18</v>
      </c>
      <c r="D766" t="s">
        <v>32</v>
      </c>
      <c r="E766" t="s">
        <v>33</v>
      </c>
      <c r="F766" t="s">
        <v>40</v>
      </c>
      <c r="G766">
        <v>2018</v>
      </c>
      <c r="H766" s="1">
        <v>43195</v>
      </c>
      <c r="I766" t="s">
        <v>15</v>
      </c>
      <c r="J766" t="s">
        <v>27</v>
      </c>
      <c r="K766">
        <v>3</v>
      </c>
      <c r="L766" t="str">
        <f>IF(AND(C766&gt; Sheet1!B772,K766&lt;3), "Misaligned","Aligned")</f>
        <v>Aligned</v>
      </c>
    </row>
    <row r="767" spans="1:12" x14ac:dyDescent="0.3">
      <c r="A767" t="s">
        <v>44</v>
      </c>
      <c r="B767">
        <v>35</v>
      </c>
      <c r="C767">
        <v>65000</v>
      </c>
      <c r="D767" t="s">
        <v>12</v>
      </c>
      <c r="E767" t="s">
        <v>29</v>
      </c>
      <c r="F767" t="s">
        <v>40</v>
      </c>
      <c r="G767">
        <v>2018</v>
      </c>
      <c r="H767" s="1">
        <v>43195</v>
      </c>
      <c r="I767" t="s">
        <v>15</v>
      </c>
      <c r="J767" t="s">
        <v>38</v>
      </c>
      <c r="K767">
        <v>4</v>
      </c>
      <c r="L767" t="str">
        <f>IF(AND(C767&gt; Sheet1!B773,K767&lt;3), "Misaligned","Aligned")</f>
        <v>Aligned</v>
      </c>
    </row>
    <row r="768" spans="1:12" x14ac:dyDescent="0.3">
      <c r="A768" t="s">
        <v>44</v>
      </c>
      <c r="B768">
        <v>40</v>
      </c>
      <c r="C768">
        <v>65000</v>
      </c>
      <c r="D768" t="s">
        <v>32</v>
      </c>
      <c r="E768" t="s">
        <v>25</v>
      </c>
      <c r="F768" t="s">
        <v>36</v>
      </c>
      <c r="G768">
        <v>2020</v>
      </c>
      <c r="H768" s="1">
        <v>43881</v>
      </c>
      <c r="I768" t="s">
        <v>22</v>
      </c>
      <c r="J768" t="s">
        <v>16</v>
      </c>
      <c r="K768">
        <v>2</v>
      </c>
      <c r="L768" t="str">
        <f>IF(AND(C768&gt; Sheet1!B774,K768&lt;3), "Misaligned","Aligned")</f>
        <v>Misaligned</v>
      </c>
    </row>
    <row r="769" spans="1:12" x14ac:dyDescent="0.3">
      <c r="A769" t="s">
        <v>41</v>
      </c>
      <c r="B769">
        <v>35</v>
      </c>
      <c r="C769">
        <v>60000</v>
      </c>
      <c r="D769" t="s">
        <v>12</v>
      </c>
      <c r="E769" t="s">
        <v>33</v>
      </c>
      <c r="F769" t="s">
        <v>36</v>
      </c>
      <c r="G769">
        <v>2020</v>
      </c>
      <c r="H769" s="1">
        <v>43845</v>
      </c>
      <c r="I769" t="s">
        <v>26</v>
      </c>
      <c r="J769" t="s">
        <v>23</v>
      </c>
      <c r="K769">
        <v>1</v>
      </c>
      <c r="L769" t="str">
        <f>IF(AND(C769&gt; Sheet1!B775,K769&lt;3), "Misaligned","Aligned")</f>
        <v>Misaligned</v>
      </c>
    </row>
    <row r="770" spans="1:12" x14ac:dyDescent="0.3">
      <c r="A770" t="s">
        <v>24</v>
      </c>
      <c r="B770">
        <v>35</v>
      </c>
      <c r="C770" t="s">
        <v>18</v>
      </c>
      <c r="D770" t="s">
        <v>19</v>
      </c>
      <c r="E770" t="s">
        <v>33</v>
      </c>
      <c r="F770" t="s">
        <v>40</v>
      </c>
      <c r="G770">
        <v>2020</v>
      </c>
      <c r="H770" s="1">
        <v>43881</v>
      </c>
      <c r="I770" t="s">
        <v>22</v>
      </c>
      <c r="J770" t="s">
        <v>27</v>
      </c>
      <c r="K770">
        <v>3</v>
      </c>
      <c r="L770" t="str">
        <f>IF(AND(C770&gt; Sheet1!B776,K770&lt;3), "Misaligned","Aligned")</f>
        <v>Aligned</v>
      </c>
    </row>
    <row r="771" spans="1:12" x14ac:dyDescent="0.3">
      <c r="A771" t="s">
        <v>43</v>
      </c>
      <c r="B771">
        <v>50</v>
      </c>
      <c r="C771" t="s">
        <v>18</v>
      </c>
      <c r="D771" t="s">
        <v>32</v>
      </c>
      <c r="E771" t="s">
        <v>13</v>
      </c>
      <c r="F771" t="s">
        <v>36</v>
      </c>
      <c r="G771">
        <v>2020</v>
      </c>
      <c r="H771" s="1">
        <v>43881</v>
      </c>
      <c r="I771" t="s">
        <v>22</v>
      </c>
      <c r="J771" t="s">
        <v>38</v>
      </c>
      <c r="K771">
        <v>4</v>
      </c>
      <c r="L771" t="str">
        <f>IF(AND(C771&gt; Sheet1!B777,K771&lt;3), "Misaligned","Aligned")</f>
        <v>Aligned</v>
      </c>
    </row>
    <row r="772" spans="1:12" x14ac:dyDescent="0.3">
      <c r="A772" t="s">
        <v>31</v>
      </c>
      <c r="B772">
        <v>25</v>
      </c>
      <c r="C772">
        <v>65000</v>
      </c>
      <c r="D772" t="s">
        <v>12</v>
      </c>
      <c r="E772" t="s">
        <v>33</v>
      </c>
      <c r="F772" t="s">
        <v>36</v>
      </c>
      <c r="G772">
        <v>2020</v>
      </c>
      <c r="H772" s="1">
        <v>43845</v>
      </c>
      <c r="I772" t="s">
        <v>26</v>
      </c>
      <c r="J772" t="s">
        <v>30</v>
      </c>
      <c r="K772">
        <v>5</v>
      </c>
      <c r="L772" t="str">
        <f>IF(AND(C772&gt; Sheet1!B778,K772&lt;3), "Misaligned","Aligned")</f>
        <v>Aligned</v>
      </c>
    </row>
    <row r="773" spans="1:12" x14ac:dyDescent="0.3">
      <c r="A773" t="s">
        <v>17</v>
      </c>
      <c r="B773">
        <v>50</v>
      </c>
      <c r="C773">
        <v>60000</v>
      </c>
      <c r="D773" t="s">
        <v>12</v>
      </c>
      <c r="E773" t="s">
        <v>13</v>
      </c>
      <c r="F773" t="s">
        <v>39</v>
      </c>
      <c r="G773">
        <v>2020</v>
      </c>
      <c r="H773" s="1">
        <v>43845</v>
      </c>
      <c r="I773" t="s">
        <v>26</v>
      </c>
      <c r="J773" t="s">
        <v>23</v>
      </c>
      <c r="K773">
        <v>1</v>
      </c>
      <c r="L773" t="str">
        <f>IF(AND(C773&gt; Sheet1!B779,K773&lt;3), "Misaligned","Aligned")</f>
        <v>Misaligned</v>
      </c>
    </row>
    <row r="774" spans="1:12" x14ac:dyDescent="0.3">
      <c r="A774" t="s">
        <v>43</v>
      </c>
      <c r="B774">
        <v>25</v>
      </c>
      <c r="C774">
        <v>50000</v>
      </c>
      <c r="D774" t="s">
        <v>19</v>
      </c>
      <c r="E774" t="s">
        <v>25</v>
      </c>
      <c r="F774" t="s">
        <v>14</v>
      </c>
      <c r="G774">
        <v>2019</v>
      </c>
      <c r="H774" s="1">
        <v>43549</v>
      </c>
      <c r="I774" t="s">
        <v>34</v>
      </c>
      <c r="J774" t="s">
        <v>30</v>
      </c>
      <c r="K774">
        <v>5</v>
      </c>
      <c r="L774" t="str">
        <f>IF(AND(C774&gt; Sheet1!B780,K774&lt;3), "Misaligned","Aligned")</f>
        <v>Aligned</v>
      </c>
    </row>
    <row r="775" spans="1:12" x14ac:dyDescent="0.3">
      <c r="A775" t="s">
        <v>24</v>
      </c>
      <c r="B775">
        <v>25</v>
      </c>
      <c r="C775">
        <v>55000</v>
      </c>
      <c r="D775" t="s">
        <v>32</v>
      </c>
      <c r="E775" t="s">
        <v>25</v>
      </c>
      <c r="F775" t="s">
        <v>40</v>
      </c>
      <c r="G775">
        <v>2019</v>
      </c>
      <c r="H775" s="1">
        <v>43549</v>
      </c>
      <c r="I775" t="s">
        <v>34</v>
      </c>
      <c r="J775" t="s">
        <v>38</v>
      </c>
      <c r="K775">
        <v>4</v>
      </c>
      <c r="L775" t="str">
        <f>IF(AND(C775&gt; Sheet1!B781,K775&lt;3), "Misaligned","Aligned")</f>
        <v>Aligned</v>
      </c>
    </row>
    <row r="776" spans="1:12" x14ac:dyDescent="0.3">
      <c r="A776" t="s">
        <v>43</v>
      </c>
      <c r="B776">
        <v>30</v>
      </c>
      <c r="C776">
        <v>70000</v>
      </c>
      <c r="D776" t="s">
        <v>19</v>
      </c>
      <c r="E776" t="s">
        <v>25</v>
      </c>
      <c r="F776" t="s">
        <v>39</v>
      </c>
      <c r="G776">
        <v>2020</v>
      </c>
      <c r="H776" s="1">
        <v>43845</v>
      </c>
      <c r="I776" t="s">
        <v>26</v>
      </c>
      <c r="J776" t="s">
        <v>38</v>
      </c>
      <c r="K776">
        <v>4</v>
      </c>
      <c r="L776" t="str">
        <f>IF(AND(C776&gt; Sheet1!B782,K776&lt;3), "Misaligned","Aligned")</f>
        <v>Aligned</v>
      </c>
    </row>
    <row r="777" spans="1:12" x14ac:dyDescent="0.3">
      <c r="A777" t="s">
        <v>35</v>
      </c>
      <c r="B777" t="s">
        <v>18</v>
      </c>
      <c r="C777">
        <v>50000</v>
      </c>
      <c r="D777" t="s">
        <v>12</v>
      </c>
      <c r="E777" t="s">
        <v>20</v>
      </c>
      <c r="F777" t="s">
        <v>14</v>
      </c>
      <c r="G777">
        <v>2018</v>
      </c>
      <c r="H777" s="1">
        <v>43195</v>
      </c>
      <c r="I777" t="s">
        <v>15</v>
      </c>
      <c r="J777" t="s">
        <v>27</v>
      </c>
      <c r="K777">
        <v>3</v>
      </c>
      <c r="L777" t="str">
        <f>IF(AND(C777&gt; Sheet1!B783,K777&lt;3), "Misaligned","Aligned")</f>
        <v>Aligned</v>
      </c>
    </row>
    <row r="778" spans="1:12" x14ac:dyDescent="0.3">
      <c r="A778" t="s">
        <v>17</v>
      </c>
      <c r="B778">
        <v>30</v>
      </c>
      <c r="C778">
        <v>65000</v>
      </c>
      <c r="D778" t="s">
        <v>12</v>
      </c>
      <c r="E778" t="s">
        <v>25</v>
      </c>
      <c r="F778" t="s">
        <v>36</v>
      </c>
      <c r="G778">
        <v>2018</v>
      </c>
      <c r="H778" s="1">
        <v>43195</v>
      </c>
      <c r="I778" t="s">
        <v>15</v>
      </c>
      <c r="J778" t="s">
        <v>16</v>
      </c>
      <c r="K778">
        <v>2</v>
      </c>
      <c r="L778" t="str">
        <f>IF(AND(C778&gt; Sheet1!B784,K778&lt;3), "Misaligned","Aligned")</f>
        <v>Misaligned</v>
      </c>
    </row>
    <row r="779" spans="1:12" x14ac:dyDescent="0.3">
      <c r="A779" t="s">
        <v>24</v>
      </c>
      <c r="B779" t="s">
        <v>18</v>
      </c>
      <c r="C779">
        <v>70000</v>
      </c>
      <c r="D779" t="s">
        <v>32</v>
      </c>
      <c r="E779" t="s">
        <v>33</v>
      </c>
      <c r="F779" t="s">
        <v>36</v>
      </c>
      <c r="G779">
        <v>2020</v>
      </c>
      <c r="H779" s="1">
        <v>43881</v>
      </c>
      <c r="I779" t="s">
        <v>22</v>
      </c>
      <c r="J779" t="s">
        <v>30</v>
      </c>
      <c r="K779">
        <v>5</v>
      </c>
      <c r="L779" t="str">
        <f>IF(AND(C779&gt; Sheet1!B785,K779&lt;3), "Misaligned","Aligned")</f>
        <v>Aligned</v>
      </c>
    </row>
    <row r="780" spans="1:12" x14ac:dyDescent="0.3">
      <c r="A780" t="s">
        <v>41</v>
      </c>
      <c r="B780">
        <v>50</v>
      </c>
      <c r="C780">
        <v>55000</v>
      </c>
      <c r="D780" t="s">
        <v>12</v>
      </c>
      <c r="E780" t="s">
        <v>29</v>
      </c>
      <c r="F780" t="s">
        <v>39</v>
      </c>
      <c r="G780">
        <v>2019</v>
      </c>
      <c r="H780" s="1">
        <v>43800</v>
      </c>
      <c r="I780" t="s">
        <v>37</v>
      </c>
      <c r="J780" t="s">
        <v>27</v>
      </c>
      <c r="K780">
        <v>3</v>
      </c>
      <c r="L780" t="str">
        <f>IF(AND(C780&gt; Sheet1!B786,K780&lt;3), "Misaligned","Aligned")</f>
        <v>Aligned</v>
      </c>
    </row>
    <row r="781" spans="1:12" x14ac:dyDescent="0.3">
      <c r="A781" t="s">
        <v>31</v>
      </c>
      <c r="B781" t="s">
        <v>18</v>
      </c>
      <c r="C781">
        <v>55000</v>
      </c>
      <c r="D781" t="s">
        <v>32</v>
      </c>
      <c r="E781" t="s">
        <v>13</v>
      </c>
      <c r="F781" t="s">
        <v>36</v>
      </c>
      <c r="G781">
        <v>2020</v>
      </c>
      <c r="H781" s="1">
        <v>43881</v>
      </c>
      <c r="I781" t="s">
        <v>22</v>
      </c>
      <c r="J781" t="s">
        <v>23</v>
      </c>
      <c r="K781">
        <v>1</v>
      </c>
      <c r="L781" t="str">
        <f>IF(AND(C781&gt; Sheet1!B787,K781&lt;3), "Misaligned","Aligned")</f>
        <v>Misaligned</v>
      </c>
    </row>
    <row r="782" spans="1:12" x14ac:dyDescent="0.3">
      <c r="A782" t="s">
        <v>11</v>
      </c>
      <c r="B782">
        <v>50</v>
      </c>
      <c r="C782">
        <v>60000</v>
      </c>
      <c r="D782" t="s">
        <v>19</v>
      </c>
      <c r="E782" t="s">
        <v>20</v>
      </c>
      <c r="F782" t="s">
        <v>21</v>
      </c>
      <c r="G782">
        <v>2020</v>
      </c>
      <c r="H782" s="1">
        <v>43881</v>
      </c>
      <c r="I782" t="s">
        <v>22</v>
      </c>
      <c r="J782" t="s">
        <v>16</v>
      </c>
      <c r="K782">
        <v>2</v>
      </c>
      <c r="L782" t="str">
        <f>IF(AND(C782&gt; Sheet1!B788,K782&lt;3), "Misaligned","Aligned")</f>
        <v>Misaligned</v>
      </c>
    </row>
    <row r="783" spans="1:12" x14ac:dyDescent="0.3">
      <c r="A783" t="s">
        <v>24</v>
      </c>
      <c r="B783">
        <v>35</v>
      </c>
      <c r="C783">
        <v>70000</v>
      </c>
      <c r="D783" t="s">
        <v>32</v>
      </c>
      <c r="E783" t="s">
        <v>25</v>
      </c>
      <c r="F783" t="s">
        <v>39</v>
      </c>
      <c r="G783">
        <v>2019</v>
      </c>
      <c r="H783" s="1">
        <v>43800</v>
      </c>
      <c r="I783" t="s">
        <v>37</v>
      </c>
      <c r="J783" t="s">
        <v>27</v>
      </c>
      <c r="K783">
        <v>3</v>
      </c>
      <c r="L783" t="str">
        <f>IF(AND(C783&gt; Sheet1!B789,K783&lt;3), "Misaligned","Aligned")</f>
        <v>Aligned</v>
      </c>
    </row>
    <row r="784" spans="1:12" x14ac:dyDescent="0.3">
      <c r="A784" t="s">
        <v>42</v>
      </c>
      <c r="B784">
        <v>35</v>
      </c>
      <c r="C784">
        <v>60000</v>
      </c>
      <c r="D784" t="s">
        <v>32</v>
      </c>
      <c r="E784" t="s">
        <v>25</v>
      </c>
      <c r="F784" t="s">
        <v>14</v>
      </c>
      <c r="G784">
        <v>2020</v>
      </c>
      <c r="H784" s="1">
        <v>43845</v>
      </c>
      <c r="I784" t="s">
        <v>26</v>
      </c>
      <c r="J784" t="s">
        <v>30</v>
      </c>
      <c r="K784">
        <v>5</v>
      </c>
      <c r="L784" t="str">
        <f>IF(AND(C784&gt; Sheet1!B790,K784&lt;3), "Misaligned","Aligned")</f>
        <v>Aligned</v>
      </c>
    </row>
    <row r="785" spans="1:12" x14ac:dyDescent="0.3">
      <c r="A785" t="s">
        <v>31</v>
      </c>
      <c r="B785" t="s">
        <v>18</v>
      </c>
      <c r="C785">
        <v>50000</v>
      </c>
      <c r="D785" t="s">
        <v>12</v>
      </c>
      <c r="E785" t="s">
        <v>29</v>
      </c>
      <c r="F785" t="s">
        <v>39</v>
      </c>
      <c r="G785">
        <v>2018</v>
      </c>
      <c r="H785" s="1">
        <v>43195</v>
      </c>
      <c r="I785" t="s">
        <v>15</v>
      </c>
      <c r="J785" t="s">
        <v>38</v>
      </c>
      <c r="K785">
        <v>4</v>
      </c>
      <c r="L785" t="str">
        <f>IF(AND(C785&gt; Sheet1!B791,K785&lt;3), "Misaligned","Aligned")</f>
        <v>Aligned</v>
      </c>
    </row>
    <row r="786" spans="1:12" x14ac:dyDescent="0.3">
      <c r="A786" t="s">
        <v>24</v>
      </c>
      <c r="B786" t="s">
        <v>18</v>
      </c>
      <c r="C786" t="s">
        <v>18</v>
      </c>
      <c r="D786" t="s">
        <v>12</v>
      </c>
      <c r="E786" t="s">
        <v>29</v>
      </c>
      <c r="F786" t="s">
        <v>40</v>
      </c>
      <c r="G786">
        <v>2020</v>
      </c>
      <c r="H786" s="1">
        <v>43881</v>
      </c>
      <c r="I786" t="s">
        <v>22</v>
      </c>
      <c r="J786" t="s">
        <v>23</v>
      </c>
      <c r="K786">
        <v>1</v>
      </c>
      <c r="L786" t="str">
        <f>IF(AND(C786&gt; Sheet1!B792,K786&lt;3), "Misaligned","Aligned")</f>
        <v>Misaligned</v>
      </c>
    </row>
    <row r="787" spans="1:12" x14ac:dyDescent="0.3">
      <c r="A787" t="s">
        <v>35</v>
      </c>
      <c r="B787">
        <v>50</v>
      </c>
      <c r="C787" t="s">
        <v>18</v>
      </c>
      <c r="D787" t="s">
        <v>32</v>
      </c>
      <c r="E787" t="s">
        <v>20</v>
      </c>
      <c r="F787" t="s">
        <v>39</v>
      </c>
      <c r="G787">
        <v>2019</v>
      </c>
      <c r="H787" s="1">
        <v>43800</v>
      </c>
      <c r="I787" t="s">
        <v>37</v>
      </c>
      <c r="J787" t="s">
        <v>30</v>
      </c>
      <c r="K787">
        <v>5</v>
      </c>
      <c r="L787" t="str">
        <f>IF(AND(C787&gt; Sheet1!B793,K787&lt;3), "Misaligned","Aligned")</f>
        <v>Aligned</v>
      </c>
    </row>
    <row r="788" spans="1:12" x14ac:dyDescent="0.3">
      <c r="A788" t="s">
        <v>11</v>
      </c>
      <c r="B788">
        <v>30</v>
      </c>
      <c r="C788" t="s">
        <v>18</v>
      </c>
      <c r="D788" t="s">
        <v>12</v>
      </c>
      <c r="E788" t="s">
        <v>13</v>
      </c>
      <c r="F788" t="s">
        <v>36</v>
      </c>
      <c r="G788">
        <v>2019</v>
      </c>
      <c r="H788" s="1">
        <v>43549</v>
      </c>
      <c r="I788" t="s">
        <v>34</v>
      </c>
      <c r="J788" t="s">
        <v>16</v>
      </c>
      <c r="K788">
        <v>2</v>
      </c>
      <c r="L788" t="str">
        <f>IF(AND(C788&gt; Sheet1!B794,K788&lt;3), "Misaligned","Aligned")</f>
        <v>Misaligned</v>
      </c>
    </row>
    <row r="789" spans="1:12" x14ac:dyDescent="0.3">
      <c r="A789" t="s">
        <v>35</v>
      </c>
      <c r="B789">
        <v>50</v>
      </c>
      <c r="C789">
        <v>70000</v>
      </c>
      <c r="D789" t="s">
        <v>12</v>
      </c>
      <c r="E789" t="s">
        <v>25</v>
      </c>
      <c r="F789" t="s">
        <v>36</v>
      </c>
      <c r="G789">
        <v>2020</v>
      </c>
      <c r="H789" s="1">
        <v>43881</v>
      </c>
      <c r="I789" t="s">
        <v>22</v>
      </c>
      <c r="J789" t="s">
        <v>16</v>
      </c>
      <c r="K789">
        <v>2</v>
      </c>
      <c r="L789" t="str">
        <f>IF(AND(C789&gt; Sheet1!B795,K789&lt;3), "Misaligned","Aligned")</f>
        <v>Misaligned</v>
      </c>
    </row>
    <row r="790" spans="1:12" x14ac:dyDescent="0.3">
      <c r="A790" t="s">
        <v>11</v>
      </c>
      <c r="B790">
        <v>30</v>
      </c>
      <c r="C790" t="s">
        <v>18</v>
      </c>
      <c r="D790" t="s">
        <v>12</v>
      </c>
      <c r="E790" t="s">
        <v>20</v>
      </c>
      <c r="F790" t="s">
        <v>21</v>
      </c>
      <c r="G790">
        <v>2018</v>
      </c>
      <c r="H790" s="1">
        <v>43195</v>
      </c>
      <c r="I790" t="s">
        <v>15</v>
      </c>
      <c r="J790" t="s">
        <v>38</v>
      </c>
      <c r="K790">
        <v>4</v>
      </c>
      <c r="L790" t="str">
        <f>IF(AND(C790&gt; Sheet1!B796,K790&lt;3), "Misaligned","Aligned")</f>
        <v>Aligned</v>
      </c>
    </row>
    <row r="791" spans="1:12" x14ac:dyDescent="0.3">
      <c r="A791" t="s">
        <v>42</v>
      </c>
      <c r="B791">
        <v>35</v>
      </c>
      <c r="C791">
        <v>50000</v>
      </c>
      <c r="D791" t="s">
        <v>32</v>
      </c>
      <c r="E791" t="s">
        <v>33</v>
      </c>
      <c r="F791" t="s">
        <v>21</v>
      </c>
      <c r="G791">
        <v>2020</v>
      </c>
      <c r="H791" s="1">
        <v>43845</v>
      </c>
      <c r="I791" t="s">
        <v>26</v>
      </c>
      <c r="J791" t="s">
        <v>38</v>
      </c>
      <c r="K791">
        <v>4</v>
      </c>
      <c r="L791" t="str">
        <f>IF(AND(C791&gt; Sheet1!B797,K791&lt;3), "Misaligned","Aligned")</f>
        <v>Aligned</v>
      </c>
    </row>
    <row r="792" spans="1:12" x14ac:dyDescent="0.3">
      <c r="A792" t="s">
        <v>31</v>
      </c>
      <c r="B792">
        <v>25</v>
      </c>
      <c r="C792">
        <v>60000</v>
      </c>
      <c r="D792" t="s">
        <v>12</v>
      </c>
      <c r="E792" t="s">
        <v>33</v>
      </c>
      <c r="F792" t="s">
        <v>21</v>
      </c>
      <c r="G792">
        <v>2020</v>
      </c>
      <c r="H792" s="1">
        <v>43881</v>
      </c>
      <c r="I792" t="s">
        <v>22</v>
      </c>
      <c r="J792" t="s">
        <v>23</v>
      </c>
      <c r="K792">
        <v>1</v>
      </c>
      <c r="L792" t="str">
        <f>IF(AND(C792&gt; Sheet1!B798,K792&lt;3), "Misaligned","Aligned")</f>
        <v>Misaligned</v>
      </c>
    </row>
    <row r="793" spans="1:12" x14ac:dyDescent="0.3">
      <c r="A793" t="s">
        <v>41</v>
      </c>
      <c r="B793" t="s">
        <v>18</v>
      </c>
      <c r="C793">
        <v>70000</v>
      </c>
      <c r="D793" t="s">
        <v>32</v>
      </c>
      <c r="E793" t="s">
        <v>20</v>
      </c>
      <c r="F793" t="s">
        <v>14</v>
      </c>
      <c r="G793">
        <v>2020</v>
      </c>
      <c r="H793" s="1">
        <v>43881</v>
      </c>
      <c r="I793" t="s">
        <v>22</v>
      </c>
      <c r="J793" t="s">
        <v>23</v>
      </c>
      <c r="K793">
        <v>1</v>
      </c>
      <c r="L793" t="str">
        <f>IF(AND(C793&gt; Sheet1!B799,K793&lt;3), "Misaligned","Aligned")</f>
        <v>Misaligned</v>
      </c>
    </row>
    <row r="794" spans="1:12" x14ac:dyDescent="0.3">
      <c r="A794" t="s">
        <v>35</v>
      </c>
      <c r="B794">
        <v>30</v>
      </c>
      <c r="C794">
        <v>60000</v>
      </c>
      <c r="D794" t="s">
        <v>12</v>
      </c>
      <c r="E794" t="s">
        <v>25</v>
      </c>
      <c r="F794" t="s">
        <v>21</v>
      </c>
      <c r="G794">
        <v>2019</v>
      </c>
      <c r="H794" s="1">
        <v>43800</v>
      </c>
      <c r="I794" t="s">
        <v>37</v>
      </c>
      <c r="J794" t="s">
        <v>38</v>
      </c>
      <c r="K794">
        <v>4</v>
      </c>
      <c r="L794" t="str">
        <f>IF(AND(C794&gt; Sheet1!B800,K794&lt;3), "Misaligned","Aligned")</f>
        <v>Aligned</v>
      </c>
    </row>
    <row r="795" spans="1:12" x14ac:dyDescent="0.3">
      <c r="A795" t="s">
        <v>35</v>
      </c>
      <c r="B795">
        <v>50</v>
      </c>
      <c r="C795">
        <v>70000</v>
      </c>
      <c r="D795" t="s">
        <v>19</v>
      </c>
      <c r="E795" t="s">
        <v>20</v>
      </c>
      <c r="F795" t="s">
        <v>14</v>
      </c>
      <c r="G795">
        <v>2019</v>
      </c>
      <c r="H795" s="1">
        <v>43549</v>
      </c>
      <c r="I795" t="s">
        <v>34</v>
      </c>
      <c r="J795" t="s">
        <v>38</v>
      </c>
      <c r="K795">
        <v>4</v>
      </c>
      <c r="L795" t="str">
        <f>IF(AND(C795&gt; Sheet1!B801,K795&lt;3), "Misaligned","Aligned")</f>
        <v>Aligned</v>
      </c>
    </row>
    <row r="796" spans="1:12" x14ac:dyDescent="0.3">
      <c r="A796" t="s">
        <v>44</v>
      </c>
      <c r="B796">
        <v>35</v>
      </c>
      <c r="C796">
        <v>60000</v>
      </c>
      <c r="D796" t="s">
        <v>12</v>
      </c>
      <c r="E796" t="s">
        <v>25</v>
      </c>
      <c r="F796" t="s">
        <v>21</v>
      </c>
      <c r="G796">
        <v>2019</v>
      </c>
      <c r="H796" s="1">
        <v>43549</v>
      </c>
      <c r="I796" t="s">
        <v>34</v>
      </c>
      <c r="J796" t="s">
        <v>16</v>
      </c>
      <c r="K796">
        <v>2</v>
      </c>
      <c r="L796" t="str">
        <f>IF(AND(C796&gt; Sheet1!B802,K796&lt;3), "Misaligned","Aligned")</f>
        <v>Misaligned</v>
      </c>
    </row>
    <row r="797" spans="1:12" x14ac:dyDescent="0.3">
      <c r="A797" t="s">
        <v>11</v>
      </c>
      <c r="B797">
        <v>30</v>
      </c>
      <c r="C797">
        <v>55000</v>
      </c>
      <c r="D797" t="s">
        <v>12</v>
      </c>
      <c r="E797" t="s">
        <v>29</v>
      </c>
      <c r="F797" t="s">
        <v>14</v>
      </c>
      <c r="G797">
        <v>2020</v>
      </c>
      <c r="H797" s="1">
        <v>43845</v>
      </c>
      <c r="I797" t="s">
        <v>26</v>
      </c>
      <c r="J797" t="s">
        <v>38</v>
      </c>
      <c r="K797">
        <v>4</v>
      </c>
      <c r="L797" t="str">
        <f>IF(AND(C797&gt; Sheet1!B803,K797&lt;3), "Misaligned","Aligned")</f>
        <v>Aligned</v>
      </c>
    </row>
    <row r="798" spans="1:12" x14ac:dyDescent="0.3">
      <c r="A798" t="s">
        <v>28</v>
      </c>
      <c r="B798">
        <v>50</v>
      </c>
      <c r="C798">
        <v>60000</v>
      </c>
      <c r="D798" t="s">
        <v>32</v>
      </c>
      <c r="E798" t="s">
        <v>20</v>
      </c>
      <c r="F798" t="s">
        <v>39</v>
      </c>
      <c r="G798">
        <v>2018</v>
      </c>
      <c r="H798" s="1">
        <v>43195</v>
      </c>
      <c r="I798" t="s">
        <v>15</v>
      </c>
      <c r="J798" t="s">
        <v>27</v>
      </c>
      <c r="K798">
        <v>3</v>
      </c>
      <c r="L798" t="str">
        <f>IF(AND(C798&gt; Sheet1!B804,K798&lt;3), "Misaligned","Aligned")</f>
        <v>Aligned</v>
      </c>
    </row>
    <row r="799" spans="1:12" x14ac:dyDescent="0.3">
      <c r="A799" t="s">
        <v>31</v>
      </c>
      <c r="B799" t="s">
        <v>18</v>
      </c>
      <c r="C799" t="s">
        <v>18</v>
      </c>
      <c r="D799" t="s">
        <v>32</v>
      </c>
      <c r="E799" t="s">
        <v>25</v>
      </c>
      <c r="F799" t="s">
        <v>39</v>
      </c>
      <c r="G799">
        <v>2020</v>
      </c>
      <c r="H799" s="1">
        <v>43845</v>
      </c>
      <c r="I799" t="s">
        <v>26</v>
      </c>
      <c r="J799" t="s">
        <v>30</v>
      </c>
      <c r="K799">
        <v>5</v>
      </c>
      <c r="L799" t="str">
        <f>IF(AND(C799&gt; Sheet1!B805,K799&lt;3), "Misaligned","Aligned")</f>
        <v>Aligned</v>
      </c>
    </row>
    <row r="800" spans="1:12" x14ac:dyDescent="0.3">
      <c r="A800" t="s">
        <v>11</v>
      </c>
      <c r="B800" t="s">
        <v>18</v>
      </c>
      <c r="C800">
        <v>55000</v>
      </c>
      <c r="D800" t="s">
        <v>12</v>
      </c>
      <c r="E800" t="s">
        <v>20</v>
      </c>
      <c r="F800" t="s">
        <v>36</v>
      </c>
      <c r="G800">
        <v>2020</v>
      </c>
      <c r="H800" s="1">
        <v>43881</v>
      </c>
      <c r="I800" t="s">
        <v>22</v>
      </c>
      <c r="J800" t="s">
        <v>38</v>
      </c>
      <c r="K800">
        <v>4</v>
      </c>
      <c r="L800" t="str">
        <f>IF(AND(C800&gt; Sheet1!B806,K800&lt;3), "Misaligned","Aligned")</f>
        <v>Aligned</v>
      </c>
    </row>
    <row r="801" spans="1:12" x14ac:dyDescent="0.3">
      <c r="A801" t="s">
        <v>44</v>
      </c>
      <c r="B801">
        <v>40</v>
      </c>
      <c r="C801">
        <v>60000</v>
      </c>
      <c r="D801" t="s">
        <v>19</v>
      </c>
      <c r="E801" t="s">
        <v>20</v>
      </c>
      <c r="F801" t="s">
        <v>14</v>
      </c>
      <c r="G801">
        <v>2020</v>
      </c>
      <c r="H801" s="1">
        <v>43881</v>
      </c>
      <c r="I801" t="s">
        <v>22</v>
      </c>
      <c r="J801" t="s">
        <v>23</v>
      </c>
      <c r="K801">
        <v>1</v>
      </c>
      <c r="L801" t="str">
        <f>IF(AND(C801&gt; Sheet1!B807,K801&lt;3), "Misaligned","Aligned")</f>
        <v>Misaligned</v>
      </c>
    </row>
    <row r="802" spans="1:12" x14ac:dyDescent="0.3">
      <c r="A802" t="s">
        <v>43</v>
      </c>
      <c r="B802">
        <v>25</v>
      </c>
      <c r="C802">
        <v>70000</v>
      </c>
      <c r="D802" t="s">
        <v>12</v>
      </c>
      <c r="E802" t="s">
        <v>25</v>
      </c>
      <c r="F802" t="s">
        <v>40</v>
      </c>
      <c r="G802">
        <v>2019</v>
      </c>
      <c r="H802" s="1">
        <v>43549</v>
      </c>
      <c r="I802" t="s">
        <v>34</v>
      </c>
      <c r="J802" t="s">
        <v>27</v>
      </c>
      <c r="K802">
        <v>3</v>
      </c>
      <c r="L802" t="str">
        <f>IF(AND(C802&gt; Sheet1!B808,K802&lt;3), "Misaligned","Aligned")</f>
        <v>Aligned</v>
      </c>
    </row>
    <row r="803" spans="1:12" x14ac:dyDescent="0.3">
      <c r="A803" t="s">
        <v>11</v>
      </c>
      <c r="B803">
        <v>40</v>
      </c>
      <c r="C803">
        <v>70000</v>
      </c>
      <c r="D803" t="s">
        <v>12</v>
      </c>
      <c r="E803" t="s">
        <v>25</v>
      </c>
      <c r="F803" t="s">
        <v>36</v>
      </c>
      <c r="G803">
        <v>2018</v>
      </c>
      <c r="H803" s="1">
        <v>43195</v>
      </c>
      <c r="I803" t="s">
        <v>15</v>
      </c>
      <c r="J803" t="s">
        <v>23</v>
      </c>
      <c r="K803">
        <v>1</v>
      </c>
      <c r="L803" t="str">
        <f>IF(AND(C803&gt; Sheet1!B809,K803&lt;3), "Misaligned","Aligned")</f>
        <v>Misaligned</v>
      </c>
    </row>
    <row r="804" spans="1:12" x14ac:dyDescent="0.3">
      <c r="A804" t="s">
        <v>41</v>
      </c>
      <c r="B804">
        <v>35</v>
      </c>
      <c r="C804">
        <v>70000</v>
      </c>
      <c r="D804" t="s">
        <v>19</v>
      </c>
      <c r="E804" t="s">
        <v>13</v>
      </c>
      <c r="F804" t="s">
        <v>39</v>
      </c>
      <c r="G804">
        <v>2019</v>
      </c>
      <c r="H804" s="1">
        <v>43800</v>
      </c>
      <c r="I804" t="s">
        <v>37</v>
      </c>
      <c r="J804" t="s">
        <v>27</v>
      </c>
      <c r="K804">
        <v>3</v>
      </c>
      <c r="L804" t="str">
        <f>IF(AND(C804&gt; Sheet1!B810,K804&lt;3), "Misaligned","Aligned")</f>
        <v>Aligned</v>
      </c>
    </row>
    <row r="805" spans="1:12" x14ac:dyDescent="0.3">
      <c r="A805" t="s">
        <v>31</v>
      </c>
      <c r="B805">
        <v>30</v>
      </c>
      <c r="C805">
        <v>65000</v>
      </c>
      <c r="D805" t="s">
        <v>32</v>
      </c>
      <c r="E805" t="s">
        <v>20</v>
      </c>
      <c r="F805" t="s">
        <v>14</v>
      </c>
      <c r="G805">
        <v>2018</v>
      </c>
      <c r="H805" s="1">
        <v>43195</v>
      </c>
      <c r="I805" t="s">
        <v>15</v>
      </c>
      <c r="J805" t="s">
        <v>38</v>
      </c>
      <c r="K805">
        <v>4</v>
      </c>
      <c r="L805" t="str">
        <f>IF(AND(C805&gt; Sheet1!B811,K805&lt;3), "Misaligned","Aligned")</f>
        <v>Aligned</v>
      </c>
    </row>
    <row r="806" spans="1:12" x14ac:dyDescent="0.3">
      <c r="A806" t="s">
        <v>44</v>
      </c>
      <c r="B806">
        <v>35</v>
      </c>
      <c r="C806">
        <v>50000</v>
      </c>
      <c r="D806" t="s">
        <v>12</v>
      </c>
      <c r="E806" t="s">
        <v>33</v>
      </c>
      <c r="F806" t="s">
        <v>21</v>
      </c>
      <c r="G806">
        <v>2020</v>
      </c>
      <c r="H806" s="1">
        <v>43881</v>
      </c>
      <c r="I806" t="s">
        <v>22</v>
      </c>
      <c r="J806" t="s">
        <v>30</v>
      </c>
      <c r="K806">
        <v>5</v>
      </c>
      <c r="L806" t="str">
        <f>IF(AND(C806&gt; Sheet1!B812,K806&lt;3), "Misaligned","Aligned")</f>
        <v>Aligned</v>
      </c>
    </row>
    <row r="807" spans="1:12" x14ac:dyDescent="0.3">
      <c r="A807" t="s">
        <v>43</v>
      </c>
      <c r="B807">
        <v>50</v>
      </c>
      <c r="C807">
        <v>70000</v>
      </c>
      <c r="D807" t="s">
        <v>32</v>
      </c>
      <c r="E807" t="s">
        <v>20</v>
      </c>
      <c r="F807" t="s">
        <v>40</v>
      </c>
      <c r="G807">
        <v>2019</v>
      </c>
      <c r="H807" s="1">
        <v>43800</v>
      </c>
      <c r="I807" t="s">
        <v>37</v>
      </c>
      <c r="J807" t="s">
        <v>23</v>
      </c>
      <c r="K807">
        <v>1</v>
      </c>
      <c r="L807" t="str">
        <f>IF(AND(C807&gt; Sheet1!B813,K807&lt;3), "Misaligned","Aligned")</f>
        <v>Misaligned</v>
      </c>
    </row>
    <row r="808" spans="1:12" x14ac:dyDescent="0.3">
      <c r="A808" t="s">
        <v>17</v>
      </c>
      <c r="B808" t="s">
        <v>18</v>
      </c>
      <c r="C808">
        <v>55000</v>
      </c>
      <c r="D808" t="s">
        <v>32</v>
      </c>
      <c r="E808" t="s">
        <v>20</v>
      </c>
      <c r="F808" t="s">
        <v>39</v>
      </c>
      <c r="G808">
        <v>2018</v>
      </c>
      <c r="H808" s="1">
        <v>43195</v>
      </c>
      <c r="I808" t="s">
        <v>15</v>
      </c>
      <c r="J808" t="s">
        <v>27</v>
      </c>
      <c r="K808">
        <v>3</v>
      </c>
      <c r="L808" t="str">
        <f>IF(AND(C808&gt; Sheet1!B814,K808&lt;3), "Misaligned","Aligned")</f>
        <v>Aligned</v>
      </c>
    </row>
    <row r="809" spans="1:12" x14ac:dyDescent="0.3">
      <c r="A809" t="s">
        <v>44</v>
      </c>
      <c r="B809">
        <v>40</v>
      </c>
      <c r="C809">
        <v>70000</v>
      </c>
      <c r="D809" t="s">
        <v>19</v>
      </c>
      <c r="E809" t="s">
        <v>25</v>
      </c>
      <c r="F809" t="s">
        <v>36</v>
      </c>
      <c r="G809">
        <v>2018</v>
      </c>
      <c r="H809" s="1">
        <v>43195</v>
      </c>
      <c r="I809" t="s">
        <v>15</v>
      </c>
      <c r="J809" t="s">
        <v>16</v>
      </c>
      <c r="K809">
        <v>2</v>
      </c>
      <c r="L809" t="str">
        <f>IF(AND(C809&gt; Sheet1!B815,K809&lt;3), "Misaligned","Aligned")</f>
        <v>Misaligned</v>
      </c>
    </row>
    <row r="810" spans="1:12" x14ac:dyDescent="0.3">
      <c r="A810" t="s">
        <v>17</v>
      </c>
      <c r="B810">
        <v>40</v>
      </c>
      <c r="C810">
        <v>65000</v>
      </c>
      <c r="D810" t="s">
        <v>19</v>
      </c>
      <c r="E810" t="s">
        <v>20</v>
      </c>
      <c r="F810" t="s">
        <v>14</v>
      </c>
      <c r="G810">
        <v>2019</v>
      </c>
      <c r="H810" s="1">
        <v>43800</v>
      </c>
      <c r="I810" t="s">
        <v>37</v>
      </c>
      <c r="J810" t="s">
        <v>38</v>
      </c>
      <c r="K810">
        <v>4</v>
      </c>
      <c r="L810" t="str">
        <f>IF(AND(C810&gt; Sheet1!B816,K810&lt;3), "Misaligned","Aligned")</f>
        <v>Aligned</v>
      </c>
    </row>
    <row r="811" spans="1:12" x14ac:dyDescent="0.3">
      <c r="A811" t="s">
        <v>31</v>
      </c>
      <c r="B811">
        <v>40</v>
      </c>
      <c r="C811" t="s">
        <v>18</v>
      </c>
      <c r="D811" t="s">
        <v>32</v>
      </c>
      <c r="E811" t="s">
        <v>20</v>
      </c>
      <c r="F811" t="s">
        <v>40</v>
      </c>
      <c r="G811">
        <v>2020</v>
      </c>
      <c r="H811" s="1">
        <v>43881</v>
      </c>
      <c r="I811" t="s">
        <v>22</v>
      </c>
      <c r="J811" t="s">
        <v>30</v>
      </c>
      <c r="K811">
        <v>5</v>
      </c>
      <c r="L811" t="str">
        <f>IF(AND(C811&gt; Sheet1!B817,K811&lt;3), "Misaligned","Aligned")</f>
        <v>Aligned</v>
      </c>
    </row>
    <row r="812" spans="1:12" x14ac:dyDescent="0.3">
      <c r="A812" t="s">
        <v>35</v>
      </c>
      <c r="B812">
        <v>35</v>
      </c>
      <c r="C812">
        <v>55000</v>
      </c>
      <c r="D812" t="s">
        <v>12</v>
      </c>
      <c r="E812" t="s">
        <v>33</v>
      </c>
      <c r="F812" t="s">
        <v>14</v>
      </c>
      <c r="G812">
        <v>2018</v>
      </c>
      <c r="H812" s="1">
        <v>43195</v>
      </c>
      <c r="I812" t="s">
        <v>15</v>
      </c>
      <c r="J812" t="s">
        <v>38</v>
      </c>
      <c r="K812">
        <v>4</v>
      </c>
      <c r="L812" t="str">
        <f>IF(AND(C812&gt; Sheet1!B818,K812&lt;3), "Misaligned","Aligned")</f>
        <v>Aligned</v>
      </c>
    </row>
    <row r="813" spans="1:12" x14ac:dyDescent="0.3">
      <c r="A813" t="s">
        <v>44</v>
      </c>
      <c r="B813" t="s">
        <v>18</v>
      </c>
      <c r="C813">
        <v>65000</v>
      </c>
      <c r="D813" t="s">
        <v>32</v>
      </c>
      <c r="E813" t="s">
        <v>25</v>
      </c>
      <c r="F813" t="s">
        <v>21</v>
      </c>
      <c r="G813">
        <v>2019</v>
      </c>
      <c r="H813" s="1">
        <v>43800</v>
      </c>
      <c r="I813" t="s">
        <v>37</v>
      </c>
      <c r="J813" t="s">
        <v>16</v>
      </c>
      <c r="K813">
        <v>2</v>
      </c>
      <c r="L813" t="str">
        <f>IF(AND(C813&gt; Sheet1!B819,K813&lt;3), "Misaligned","Aligned")</f>
        <v>Misaligned</v>
      </c>
    </row>
    <row r="814" spans="1:12" x14ac:dyDescent="0.3">
      <c r="A814" t="s">
        <v>42</v>
      </c>
      <c r="B814">
        <v>30</v>
      </c>
      <c r="C814" t="s">
        <v>18</v>
      </c>
      <c r="D814" t="s">
        <v>12</v>
      </c>
      <c r="E814" t="s">
        <v>20</v>
      </c>
      <c r="F814" t="s">
        <v>36</v>
      </c>
      <c r="G814">
        <v>2020</v>
      </c>
      <c r="H814" s="1">
        <v>43881</v>
      </c>
      <c r="I814" t="s">
        <v>22</v>
      </c>
      <c r="J814" t="s">
        <v>30</v>
      </c>
      <c r="K814">
        <v>5</v>
      </c>
      <c r="L814" t="str">
        <f>IF(AND(C814&gt; Sheet1!B820,K814&lt;3), "Misaligned","Aligned")</f>
        <v>Aligned</v>
      </c>
    </row>
    <row r="815" spans="1:12" x14ac:dyDescent="0.3">
      <c r="A815" t="s">
        <v>17</v>
      </c>
      <c r="B815">
        <v>50</v>
      </c>
      <c r="C815">
        <v>55000</v>
      </c>
      <c r="D815" t="s">
        <v>12</v>
      </c>
      <c r="E815" t="s">
        <v>29</v>
      </c>
      <c r="F815" t="s">
        <v>14</v>
      </c>
      <c r="G815">
        <v>2019</v>
      </c>
      <c r="H815" s="1">
        <v>43800</v>
      </c>
      <c r="I815" t="s">
        <v>37</v>
      </c>
      <c r="J815" t="s">
        <v>16</v>
      </c>
      <c r="K815">
        <v>2</v>
      </c>
      <c r="L815" t="str">
        <f>IF(AND(C815&gt; Sheet1!B821,K815&lt;3), "Misaligned","Aligned")</f>
        <v>Misaligned</v>
      </c>
    </row>
    <row r="816" spans="1:12" x14ac:dyDescent="0.3">
      <c r="A816" t="s">
        <v>41</v>
      </c>
      <c r="B816">
        <v>30</v>
      </c>
      <c r="C816">
        <v>60000</v>
      </c>
      <c r="D816" t="s">
        <v>19</v>
      </c>
      <c r="E816" t="s">
        <v>13</v>
      </c>
      <c r="F816" t="s">
        <v>39</v>
      </c>
      <c r="G816">
        <v>2019</v>
      </c>
      <c r="H816" s="1">
        <v>43800</v>
      </c>
      <c r="I816" t="s">
        <v>37</v>
      </c>
      <c r="J816" t="s">
        <v>38</v>
      </c>
      <c r="K816">
        <v>4</v>
      </c>
      <c r="L816" t="str">
        <f>IF(AND(C816&gt; Sheet1!B822,K816&lt;3), "Misaligned","Aligned")</f>
        <v>Aligned</v>
      </c>
    </row>
    <row r="817" spans="1:12" x14ac:dyDescent="0.3">
      <c r="A817" t="s">
        <v>42</v>
      </c>
      <c r="B817">
        <v>35</v>
      </c>
      <c r="C817">
        <v>50000</v>
      </c>
      <c r="D817" t="s">
        <v>12</v>
      </c>
      <c r="E817" t="s">
        <v>33</v>
      </c>
      <c r="F817" t="s">
        <v>36</v>
      </c>
      <c r="G817">
        <v>2018</v>
      </c>
      <c r="H817" s="1">
        <v>43195</v>
      </c>
      <c r="I817" t="s">
        <v>15</v>
      </c>
      <c r="J817" t="s">
        <v>27</v>
      </c>
      <c r="K817">
        <v>3</v>
      </c>
      <c r="L817" t="str">
        <f>IF(AND(C817&gt; Sheet1!B823,K817&lt;3), "Misaligned","Aligned")</f>
        <v>Aligned</v>
      </c>
    </row>
    <row r="818" spans="1:12" x14ac:dyDescent="0.3">
      <c r="A818" t="s">
        <v>24</v>
      </c>
      <c r="B818">
        <v>50</v>
      </c>
      <c r="C818">
        <v>50000</v>
      </c>
      <c r="D818" t="s">
        <v>12</v>
      </c>
      <c r="E818" t="s">
        <v>20</v>
      </c>
      <c r="F818" t="s">
        <v>39</v>
      </c>
      <c r="G818">
        <v>2020</v>
      </c>
      <c r="H818" s="1">
        <v>43881</v>
      </c>
      <c r="I818" t="s">
        <v>22</v>
      </c>
      <c r="J818" t="s">
        <v>38</v>
      </c>
      <c r="K818">
        <v>4</v>
      </c>
      <c r="L818" t="str">
        <f>IF(AND(C818&gt; Sheet1!B824,K818&lt;3), "Misaligned","Aligned")</f>
        <v>Aligned</v>
      </c>
    </row>
    <row r="819" spans="1:12" x14ac:dyDescent="0.3">
      <c r="A819" t="s">
        <v>24</v>
      </c>
      <c r="B819">
        <v>40</v>
      </c>
      <c r="C819">
        <v>65000</v>
      </c>
      <c r="D819" t="s">
        <v>32</v>
      </c>
      <c r="E819" t="s">
        <v>29</v>
      </c>
      <c r="F819" t="s">
        <v>14</v>
      </c>
      <c r="G819">
        <v>2018</v>
      </c>
      <c r="H819" s="1">
        <v>43195</v>
      </c>
      <c r="I819" t="s">
        <v>15</v>
      </c>
      <c r="J819" t="s">
        <v>38</v>
      </c>
      <c r="K819">
        <v>4</v>
      </c>
      <c r="L819" t="str">
        <f>IF(AND(C819&gt; Sheet1!B825,K819&lt;3), "Misaligned","Aligned")</f>
        <v>Aligned</v>
      </c>
    </row>
    <row r="820" spans="1:12" x14ac:dyDescent="0.3">
      <c r="A820" t="s">
        <v>43</v>
      </c>
      <c r="B820">
        <v>25</v>
      </c>
      <c r="C820" t="s">
        <v>18</v>
      </c>
      <c r="D820" t="s">
        <v>19</v>
      </c>
      <c r="E820" t="s">
        <v>20</v>
      </c>
      <c r="F820" t="s">
        <v>36</v>
      </c>
      <c r="G820">
        <v>2020</v>
      </c>
      <c r="H820" s="1">
        <v>43845</v>
      </c>
      <c r="I820" t="s">
        <v>26</v>
      </c>
      <c r="J820" t="s">
        <v>38</v>
      </c>
      <c r="K820">
        <v>4</v>
      </c>
      <c r="L820" t="str">
        <f>IF(AND(C820&gt; Sheet1!B826,K820&lt;3), "Misaligned","Aligned")</f>
        <v>Aligned</v>
      </c>
    </row>
    <row r="821" spans="1:12" x14ac:dyDescent="0.3">
      <c r="A821" t="s">
        <v>35</v>
      </c>
      <c r="B821">
        <v>35</v>
      </c>
      <c r="C821">
        <v>50000</v>
      </c>
      <c r="D821" t="s">
        <v>12</v>
      </c>
      <c r="E821" t="s">
        <v>20</v>
      </c>
      <c r="F821" t="s">
        <v>39</v>
      </c>
      <c r="G821">
        <v>2020</v>
      </c>
      <c r="H821" s="1">
        <v>43845</v>
      </c>
      <c r="I821" t="s">
        <v>26</v>
      </c>
      <c r="J821" t="s">
        <v>23</v>
      </c>
      <c r="K821">
        <v>1</v>
      </c>
      <c r="L821" t="str">
        <f>IF(AND(C821&gt; Sheet1!B827,K821&lt;3), "Misaligned","Aligned")</f>
        <v>Misaligned</v>
      </c>
    </row>
    <row r="822" spans="1:12" x14ac:dyDescent="0.3">
      <c r="A822" t="s">
        <v>31</v>
      </c>
      <c r="B822">
        <v>35</v>
      </c>
      <c r="C822" t="s">
        <v>18</v>
      </c>
      <c r="D822" t="s">
        <v>12</v>
      </c>
      <c r="E822" t="s">
        <v>25</v>
      </c>
      <c r="F822" t="s">
        <v>21</v>
      </c>
      <c r="G822">
        <v>2020</v>
      </c>
      <c r="H822" s="1">
        <v>43881</v>
      </c>
      <c r="I822" t="s">
        <v>22</v>
      </c>
      <c r="J822" t="s">
        <v>16</v>
      </c>
      <c r="K822">
        <v>2</v>
      </c>
      <c r="L822" t="str">
        <f>IF(AND(C822&gt; Sheet1!B828,K822&lt;3), "Misaligned","Aligned")</f>
        <v>Misaligned</v>
      </c>
    </row>
    <row r="823" spans="1:12" x14ac:dyDescent="0.3">
      <c r="A823" t="s">
        <v>44</v>
      </c>
      <c r="B823" t="s">
        <v>18</v>
      </c>
      <c r="C823" t="s">
        <v>18</v>
      </c>
      <c r="D823" t="s">
        <v>19</v>
      </c>
      <c r="E823" t="s">
        <v>25</v>
      </c>
      <c r="F823" t="s">
        <v>21</v>
      </c>
      <c r="G823">
        <v>2019</v>
      </c>
      <c r="H823" s="1">
        <v>43800</v>
      </c>
      <c r="I823" t="s">
        <v>37</v>
      </c>
      <c r="J823" t="s">
        <v>16</v>
      </c>
      <c r="K823">
        <v>2</v>
      </c>
      <c r="L823" t="str">
        <f>IF(AND(C823&gt; Sheet1!B829,K823&lt;3), "Misaligned","Aligned")</f>
        <v>Misaligned</v>
      </c>
    </row>
    <row r="824" spans="1:12" x14ac:dyDescent="0.3">
      <c r="A824" t="s">
        <v>28</v>
      </c>
      <c r="B824">
        <v>30</v>
      </c>
      <c r="C824">
        <v>65000</v>
      </c>
      <c r="D824" t="s">
        <v>32</v>
      </c>
      <c r="E824" t="s">
        <v>25</v>
      </c>
      <c r="F824" t="s">
        <v>14</v>
      </c>
      <c r="G824">
        <v>2018</v>
      </c>
      <c r="H824" s="1">
        <v>43195</v>
      </c>
      <c r="I824" t="s">
        <v>15</v>
      </c>
      <c r="J824" t="s">
        <v>16</v>
      </c>
      <c r="K824">
        <v>2</v>
      </c>
      <c r="L824" t="str">
        <f>IF(AND(C824&gt; Sheet1!B830,K824&lt;3), "Misaligned","Aligned")</f>
        <v>Misaligned</v>
      </c>
    </row>
    <row r="825" spans="1:12" x14ac:dyDescent="0.3">
      <c r="A825" t="s">
        <v>41</v>
      </c>
      <c r="B825">
        <v>35</v>
      </c>
      <c r="C825">
        <v>65000</v>
      </c>
      <c r="D825" t="s">
        <v>19</v>
      </c>
      <c r="E825" t="s">
        <v>29</v>
      </c>
      <c r="F825" t="s">
        <v>36</v>
      </c>
      <c r="G825">
        <v>2018</v>
      </c>
      <c r="H825" s="1">
        <v>43195</v>
      </c>
      <c r="I825" t="s">
        <v>15</v>
      </c>
      <c r="J825" t="s">
        <v>23</v>
      </c>
      <c r="K825">
        <v>1</v>
      </c>
      <c r="L825" t="str">
        <f>IF(AND(C825&gt; Sheet1!B831,K825&lt;3), "Misaligned","Aligned")</f>
        <v>Misaligned</v>
      </c>
    </row>
    <row r="826" spans="1:12" x14ac:dyDescent="0.3">
      <c r="A826" t="s">
        <v>17</v>
      </c>
      <c r="B826">
        <v>35</v>
      </c>
      <c r="C826">
        <v>65000</v>
      </c>
      <c r="D826" t="s">
        <v>19</v>
      </c>
      <c r="E826" t="s">
        <v>20</v>
      </c>
      <c r="F826" t="s">
        <v>40</v>
      </c>
      <c r="G826">
        <v>2020</v>
      </c>
      <c r="H826" s="1">
        <v>43881</v>
      </c>
      <c r="I826" t="s">
        <v>22</v>
      </c>
      <c r="J826" t="s">
        <v>27</v>
      </c>
      <c r="K826">
        <v>3</v>
      </c>
      <c r="L826" t="str">
        <f>IF(AND(C826&gt; Sheet1!B832,K826&lt;3), "Misaligned","Aligned")</f>
        <v>Aligned</v>
      </c>
    </row>
    <row r="827" spans="1:12" x14ac:dyDescent="0.3">
      <c r="A827" t="s">
        <v>31</v>
      </c>
      <c r="B827">
        <v>40</v>
      </c>
      <c r="C827">
        <v>50000</v>
      </c>
      <c r="D827" t="s">
        <v>12</v>
      </c>
      <c r="E827" t="s">
        <v>13</v>
      </c>
      <c r="F827" t="s">
        <v>36</v>
      </c>
      <c r="G827">
        <v>2020</v>
      </c>
      <c r="H827" s="1">
        <v>43881</v>
      </c>
      <c r="I827" t="s">
        <v>22</v>
      </c>
      <c r="J827" t="s">
        <v>38</v>
      </c>
      <c r="K827">
        <v>4</v>
      </c>
      <c r="L827" t="str">
        <f>IF(AND(C827&gt; Sheet1!B833,K827&lt;3), "Misaligned","Aligned")</f>
        <v>Aligned</v>
      </c>
    </row>
    <row r="828" spans="1:12" x14ac:dyDescent="0.3">
      <c r="A828" t="s">
        <v>42</v>
      </c>
      <c r="B828">
        <v>40</v>
      </c>
      <c r="C828">
        <v>65000</v>
      </c>
      <c r="D828" t="s">
        <v>12</v>
      </c>
      <c r="E828" t="s">
        <v>33</v>
      </c>
      <c r="F828" t="s">
        <v>21</v>
      </c>
      <c r="G828">
        <v>2020</v>
      </c>
      <c r="H828" s="1">
        <v>43845</v>
      </c>
      <c r="I828" t="s">
        <v>26</v>
      </c>
      <c r="J828" t="s">
        <v>27</v>
      </c>
      <c r="K828">
        <v>3</v>
      </c>
      <c r="L828" t="str">
        <f>IF(AND(C828&gt; Sheet1!B834,K828&lt;3), "Misaligned","Aligned")</f>
        <v>Aligned</v>
      </c>
    </row>
    <row r="829" spans="1:12" x14ac:dyDescent="0.3">
      <c r="A829" t="s">
        <v>24</v>
      </c>
      <c r="B829">
        <v>50</v>
      </c>
      <c r="C829">
        <v>50000</v>
      </c>
      <c r="D829" t="s">
        <v>32</v>
      </c>
      <c r="E829" t="s">
        <v>25</v>
      </c>
      <c r="F829" t="s">
        <v>39</v>
      </c>
      <c r="G829">
        <v>2019</v>
      </c>
      <c r="H829" s="1">
        <v>43549</v>
      </c>
      <c r="I829" t="s">
        <v>34</v>
      </c>
      <c r="J829" t="s">
        <v>23</v>
      </c>
      <c r="K829">
        <v>1</v>
      </c>
      <c r="L829" t="str">
        <f>IF(AND(C829&gt; Sheet1!B835,K829&lt;3), "Misaligned","Aligned")</f>
        <v>Misaligned</v>
      </c>
    </row>
    <row r="830" spans="1:12" x14ac:dyDescent="0.3">
      <c r="A830" t="s">
        <v>41</v>
      </c>
      <c r="B830">
        <v>25</v>
      </c>
      <c r="C830">
        <v>65000</v>
      </c>
      <c r="D830" t="s">
        <v>12</v>
      </c>
      <c r="E830" t="s">
        <v>25</v>
      </c>
      <c r="F830" t="s">
        <v>40</v>
      </c>
      <c r="G830">
        <v>2020</v>
      </c>
      <c r="H830" s="1">
        <v>43881</v>
      </c>
      <c r="I830" t="s">
        <v>22</v>
      </c>
      <c r="J830" t="s">
        <v>16</v>
      </c>
      <c r="K830">
        <v>2</v>
      </c>
      <c r="L830" t="str">
        <f>IF(AND(C830&gt; Sheet1!B836,K830&lt;3), "Misaligned","Aligned")</f>
        <v>Misaligned</v>
      </c>
    </row>
    <row r="831" spans="1:12" x14ac:dyDescent="0.3">
      <c r="A831" t="s">
        <v>28</v>
      </c>
      <c r="B831" t="s">
        <v>18</v>
      </c>
      <c r="C831">
        <v>70000</v>
      </c>
      <c r="D831" t="s">
        <v>12</v>
      </c>
      <c r="E831" t="s">
        <v>20</v>
      </c>
      <c r="F831" t="s">
        <v>14</v>
      </c>
      <c r="G831">
        <v>2019</v>
      </c>
      <c r="H831" s="1">
        <v>43549</v>
      </c>
      <c r="I831" t="s">
        <v>34</v>
      </c>
      <c r="J831" t="s">
        <v>38</v>
      </c>
      <c r="K831">
        <v>4</v>
      </c>
      <c r="L831" t="str">
        <f>IF(AND(C831&gt; Sheet1!B837,K831&lt;3), "Misaligned","Aligned")</f>
        <v>Aligned</v>
      </c>
    </row>
    <row r="832" spans="1:12" x14ac:dyDescent="0.3">
      <c r="A832" t="s">
        <v>44</v>
      </c>
      <c r="B832">
        <v>25</v>
      </c>
      <c r="C832" t="s">
        <v>18</v>
      </c>
      <c r="D832" t="s">
        <v>19</v>
      </c>
      <c r="E832" t="s">
        <v>20</v>
      </c>
      <c r="F832" t="s">
        <v>40</v>
      </c>
      <c r="G832">
        <v>2020</v>
      </c>
      <c r="H832" s="1">
        <v>43881</v>
      </c>
      <c r="I832" t="s">
        <v>22</v>
      </c>
      <c r="J832" t="s">
        <v>30</v>
      </c>
      <c r="K832">
        <v>5</v>
      </c>
      <c r="L832" t="str">
        <f>IF(AND(C832&gt; Sheet1!B838,K832&lt;3), "Misaligned","Aligned")</f>
        <v>Aligned</v>
      </c>
    </row>
    <row r="833" spans="1:12" x14ac:dyDescent="0.3">
      <c r="A833" t="s">
        <v>43</v>
      </c>
      <c r="B833">
        <v>50</v>
      </c>
      <c r="C833">
        <v>65000</v>
      </c>
      <c r="D833" t="s">
        <v>12</v>
      </c>
      <c r="E833" t="s">
        <v>29</v>
      </c>
      <c r="F833" t="s">
        <v>14</v>
      </c>
      <c r="G833">
        <v>2019</v>
      </c>
      <c r="H833" s="1">
        <v>43800</v>
      </c>
      <c r="I833" t="s">
        <v>37</v>
      </c>
      <c r="J833" t="s">
        <v>30</v>
      </c>
      <c r="K833">
        <v>5</v>
      </c>
      <c r="L833" t="str">
        <f>IF(AND(C833&gt; Sheet1!B839,K833&lt;3), "Misaligned","Aligned")</f>
        <v>Aligned</v>
      </c>
    </row>
    <row r="834" spans="1:12" x14ac:dyDescent="0.3">
      <c r="A834" t="s">
        <v>28</v>
      </c>
      <c r="B834">
        <v>40</v>
      </c>
      <c r="C834">
        <v>55000</v>
      </c>
      <c r="D834" t="s">
        <v>32</v>
      </c>
      <c r="E834" t="s">
        <v>29</v>
      </c>
      <c r="F834" t="s">
        <v>40</v>
      </c>
      <c r="G834">
        <v>2019</v>
      </c>
      <c r="H834" s="1">
        <v>43800</v>
      </c>
      <c r="I834" t="s">
        <v>37</v>
      </c>
      <c r="J834" t="s">
        <v>27</v>
      </c>
      <c r="K834">
        <v>3</v>
      </c>
      <c r="L834" t="str">
        <f>IF(AND(C834&gt; Sheet1!B840,K834&lt;3), "Misaligned","Aligned")</f>
        <v>Aligned</v>
      </c>
    </row>
    <row r="835" spans="1:12" x14ac:dyDescent="0.3">
      <c r="A835" t="s">
        <v>41</v>
      </c>
      <c r="B835">
        <v>30</v>
      </c>
      <c r="C835" t="s">
        <v>18</v>
      </c>
      <c r="D835" t="s">
        <v>19</v>
      </c>
      <c r="E835" t="s">
        <v>25</v>
      </c>
      <c r="F835" t="s">
        <v>14</v>
      </c>
      <c r="G835">
        <v>2020</v>
      </c>
      <c r="H835" s="1">
        <v>43845</v>
      </c>
      <c r="I835" t="s">
        <v>26</v>
      </c>
      <c r="J835" t="s">
        <v>16</v>
      </c>
      <c r="K835">
        <v>2</v>
      </c>
      <c r="L835" t="str">
        <f>IF(AND(C835&gt; Sheet1!B841,K835&lt;3), "Misaligned","Aligned")</f>
        <v>Misaligned</v>
      </c>
    </row>
    <row r="836" spans="1:12" x14ac:dyDescent="0.3">
      <c r="A836" t="s">
        <v>28</v>
      </c>
      <c r="B836">
        <v>40</v>
      </c>
      <c r="C836" t="s">
        <v>18</v>
      </c>
      <c r="D836" t="s">
        <v>32</v>
      </c>
      <c r="E836" t="s">
        <v>20</v>
      </c>
      <c r="F836" t="s">
        <v>14</v>
      </c>
      <c r="G836">
        <v>2020</v>
      </c>
      <c r="H836" s="1">
        <v>43845</v>
      </c>
      <c r="I836" t="s">
        <v>26</v>
      </c>
      <c r="J836" t="s">
        <v>30</v>
      </c>
      <c r="K836">
        <v>5</v>
      </c>
      <c r="L836" t="str">
        <f>IF(AND(C836&gt; Sheet1!B842,K836&lt;3), "Misaligned","Aligned")</f>
        <v>Aligned</v>
      </c>
    </row>
    <row r="837" spans="1:12" x14ac:dyDescent="0.3">
      <c r="A837" t="s">
        <v>41</v>
      </c>
      <c r="B837" t="s">
        <v>18</v>
      </c>
      <c r="C837">
        <v>65000</v>
      </c>
      <c r="D837" t="s">
        <v>19</v>
      </c>
      <c r="E837" t="s">
        <v>13</v>
      </c>
      <c r="F837" t="s">
        <v>40</v>
      </c>
      <c r="G837">
        <v>2019</v>
      </c>
      <c r="H837" s="1">
        <v>43549</v>
      </c>
      <c r="I837" t="s">
        <v>34</v>
      </c>
      <c r="J837" t="s">
        <v>27</v>
      </c>
      <c r="K837">
        <v>3</v>
      </c>
      <c r="L837" t="str">
        <f>IF(AND(C837&gt; Sheet1!B843,K837&lt;3), "Misaligned","Aligned")</f>
        <v>Aligned</v>
      </c>
    </row>
    <row r="838" spans="1:12" x14ac:dyDescent="0.3">
      <c r="A838" t="s">
        <v>41</v>
      </c>
      <c r="B838">
        <v>40</v>
      </c>
      <c r="C838">
        <v>60000</v>
      </c>
      <c r="D838" t="s">
        <v>12</v>
      </c>
      <c r="E838" t="s">
        <v>33</v>
      </c>
      <c r="F838" t="s">
        <v>40</v>
      </c>
      <c r="G838">
        <v>2020</v>
      </c>
      <c r="H838" s="1">
        <v>43881</v>
      </c>
      <c r="I838" t="s">
        <v>22</v>
      </c>
      <c r="J838" t="s">
        <v>23</v>
      </c>
      <c r="K838">
        <v>1</v>
      </c>
      <c r="L838" t="str">
        <f>IF(AND(C838&gt; Sheet1!B844,K838&lt;3), "Misaligned","Aligned")</f>
        <v>Misaligned</v>
      </c>
    </row>
    <row r="839" spans="1:12" x14ac:dyDescent="0.3">
      <c r="A839" t="s">
        <v>11</v>
      </c>
      <c r="B839" t="s">
        <v>18</v>
      </c>
      <c r="C839">
        <v>65000</v>
      </c>
      <c r="D839" t="s">
        <v>19</v>
      </c>
      <c r="E839" t="s">
        <v>20</v>
      </c>
      <c r="F839" t="s">
        <v>14</v>
      </c>
      <c r="G839">
        <v>2018</v>
      </c>
      <c r="H839" s="1">
        <v>43195</v>
      </c>
      <c r="I839" t="s">
        <v>15</v>
      </c>
      <c r="J839" t="s">
        <v>27</v>
      </c>
      <c r="K839">
        <v>3</v>
      </c>
      <c r="L839" t="str">
        <f>IF(AND(C839&gt; Sheet1!B845,K839&lt;3), "Misaligned","Aligned")</f>
        <v>Aligned</v>
      </c>
    </row>
    <row r="840" spans="1:12" x14ac:dyDescent="0.3">
      <c r="A840" t="s">
        <v>17</v>
      </c>
      <c r="B840" t="s">
        <v>18</v>
      </c>
      <c r="C840" t="s">
        <v>18</v>
      </c>
      <c r="D840" t="s">
        <v>19</v>
      </c>
      <c r="E840" t="s">
        <v>20</v>
      </c>
      <c r="F840" t="s">
        <v>21</v>
      </c>
      <c r="G840">
        <v>2020</v>
      </c>
      <c r="H840" s="1">
        <v>43845</v>
      </c>
      <c r="I840" t="s">
        <v>26</v>
      </c>
      <c r="J840" t="s">
        <v>27</v>
      </c>
      <c r="K840">
        <v>3</v>
      </c>
      <c r="L840" t="str">
        <f>IF(AND(C840&gt; Sheet1!B846,K840&lt;3), "Misaligned","Aligned")</f>
        <v>Aligned</v>
      </c>
    </row>
    <row r="841" spans="1:12" x14ac:dyDescent="0.3">
      <c r="A841" t="s">
        <v>24</v>
      </c>
      <c r="B841" t="s">
        <v>18</v>
      </c>
      <c r="C841">
        <v>55000</v>
      </c>
      <c r="D841" t="s">
        <v>12</v>
      </c>
      <c r="E841" t="s">
        <v>29</v>
      </c>
      <c r="F841" t="s">
        <v>40</v>
      </c>
      <c r="G841">
        <v>2018</v>
      </c>
      <c r="H841" s="1">
        <v>43195</v>
      </c>
      <c r="I841" t="s">
        <v>15</v>
      </c>
      <c r="J841" t="s">
        <v>27</v>
      </c>
      <c r="K841">
        <v>3</v>
      </c>
      <c r="L841" t="str">
        <f>IF(AND(C841&gt; Sheet1!B847,K841&lt;3), "Misaligned","Aligned")</f>
        <v>Aligned</v>
      </c>
    </row>
    <row r="842" spans="1:12" x14ac:dyDescent="0.3">
      <c r="A842" t="s">
        <v>11</v>
      </c>
      <c r="B842">
        <v>50</v>
      </c>
      <c r="C842" t="s">
        <v>18</v>
      </c>
      <c r="D842" t="s">
        <v>12</v>
      </c>
      <c r="E842" t="s">
        <v>33</v>
      </c>
      <c r="F842" t="s">
        <v>36</v>
      </c>
      <c r="G842">
        <v>2018</v>
      </c>
      <c r="H842" s="1">
        <v>43195</v>
      </c>
      <c r="I842" t="s">
        <v>15</v>
      </c>
      <c r="J842" t="s">
        <v>38</v>
      </c>
      <c r="K842">
        <v>4</v>
      </c>
      <c r="L842" t="str">
        <f>IF(AND(C842&gt; Sheet1!B848,K842&lt;3), "Misaligned","Aligned")</f>
        <v>Aligned</v>
      </c>
    </row>
    <row r="843" spans="1:12" x14ac:dyDescent="0.3">
      <c r="A843" t="s">
        <v>44</v>
      </c>
      <c r="B843" t="s">
        <v>18</v>
      </c>
      <c r="C843">
        <v>55000</v>
      </c>
      <c r="D843" t="s">
        <v>32</v>
      </c>
      <c r="E843" t="s">
        <v>25</v>
      </c>
      <c r="F843" t="s">
        <v>39</v>
      </c>
      <c r="G843">
        <v>2020</v>
      </c>
      <c r="H843" s="1">
        <v>43881</v>
      </c>
      <c r="I843" t="s">
        <v>22</v>
      </c>
      <c r="J843" t="s">
        <v>27</v>
      </c>
      <c r="K843">
        <v>3</v>
      </c>
      <c r="L843" t="str">
        <f>IF(AND(C843&gt; Sheet1!B849,K843&lt;3), "Misaligned","Aligned")</f>
        <v>Aligned</v>
      </c>
    </row>
    <row r="844" spans="1:12" x14ac:dyDescent="0.3">
      <c r="A844" t="s">
        <v>11</v>
      </c>
      <c r="B844" t="s">
        <v>18</v>
      </c>
      <c r="C844">
        <v>50000</v>
      </c>
      <c r="D844" t="s">
        <v>32</v>
      </c>
      <c r="E844" t="s">
        <v>20</v>
      </c>
      <c r="F844" t="s">
        <v>14</v>
      </c>
      <c r="G844">
        <v>2019</v>
      </c>
      <c r="H844" s="1">
        <v>43549</v>
      </c>
      <c r="I844" t="s">
        <v>34</v>
      </c>
      <c r="J844" t="s">
        <v>27</v>
      </c>
      <c r="K844">
        <v>3</v>
      </c>
      <c r="L844" t="str">
        <f>IF(AND(C844&gt; Sheet1!B850,K844&lt;3), "Misaligned","Aligned")</f>
        <v>Aligned</v>
      </c>
    </row>
    <row r="845" spans="1:12" x14ac:dyDescent="0.3">
      <c r="A845" t="s">
        <v>35</v>
      </c>
      <c r="B845">
        <v>30</v>
      </c>
      <c r="C845">
        <v>70000</v>
      </c>
      <c r="D845" t="s">
        <v>12</v>
      </c>
      <c r="E845" t="s">
        <v>25</v>
      </c>
      <c r="F845" t="s">
        <v>14</v>
      </c>
      <c r="G845">
        <v>2020</v>
      </c>
      <c r="H845" s="1">
        <v>43881</v>
      </c>
      <c r="I845" t="s">
        <v>22</v>
      </c>
      <c r="J845" t="s">
        <v>38</v>
      </c>
      <c r="K845">
        <v>4</v>
      </c>
      <c r="L845" t="str">
        <f>IF(AND(C845&gt; Sheet1!B851,K845&lt;3), "Misaligned","Aligned")</f>
        <v>Aligned</v>
      </c>
    </row>
    <row r="846" spans="1:12" x14ac:dyDescent="0.3">
      <c r="A846" t="s">
        <v>35</v>
      </c>
      <c r="B846">
        <v>25</v>
      </c>
      <c r="C846" t="s">
        <v>18</v>
      </c>
      <c r="D846" t="s">
        <v>12</v>
      </c>
      <c r="E846" t="s">
        <v>20</v>
      </c>
      <c r="F846" t="s">
        <v>39</v>
      </c>
      <c r="G846">
        <v>2020</v>
      </c>
      <c r="H846" s="1">
        <v>43845</v>
      </c>
      <c r="I846" t="s">
        <v>26</v>
      </c>
      <c r="J846" t="s">
        <v>38</v>
      </c>
      <c r="K846">
        <v>4</v>
      </c>
      <c r="L846" t="str">
        <f>IF(AND(C846&gt; Sheet1!B852,K846&lt;3), "Misaligned","Aligned")</f>
        <v>Aligned</v>
      </c>
    </row>
    <row r="847" spans="1:12" x14ac:dyDescent="0.3">
      <c r="A847" t="s">
        <v>24</v>
      </c>
      <c r="B847">
        <v>35</v>
      </c>
      <c r="C847">
        <v>65000</v>
      </c>
      <c r="D847" t="s">
        <v>12</v>
      </c>
      <c r="E847" t="s">
        <v>25</v>
      </c>
      <c r="F847" t="s">
        <v>21</v>
      </c>
      <c r="G847">
        <v>2018</v>
      </c>
      <c r="H847" s="1">
        <v>43195</v>
      </c>
      <c r="I847" t="s">
        <v>15</v>
      </c>
      <c r="J847" t="s">
        <v>23</v>
      </c>
      <c r="K847">
        <v>1</v>
      </c>
      <c r="L847" t="str">
        <f>IF(AND(C847&gt; Sheet1!B853,K847&lt;3), "Misaligned","Aligned")</f>
        <v>Misaligned</v>
      </c>
    </row>
    <row r="848" spans="1:12" x14ac:dyDescent="0.3">
      <c r="A848" t="s">
        <v>28</v>
      </c>
      <c r="B848">
        <v>25</v>
      </c>
      <c r="C848">
        <v>50000</v>
      </c>
      <c r="D848" t="s">
        <v>19</v>
      </c>
      <c r="E848" t="s">
        <v>33</v>
      </c>
      <c r="F848" t="s">
        <v>39</v>
      </c>
      <c r="G848">
        <v>2020</v>
      </c>
      <c r="H848" s="1">
        <v>43881</v>
      </c>
      <c r="I848" t="s">
        <v>22</v>
      </c>
      <c r="J848" t="s">
        <v>16</v>
      </c>
      <c r="K848">
        <v>2</v>
      </c>
      <c r="L848" t="str">
        <f>IF(AND(C848&gt; Sheet1!B854,K848&lt;3), "Misaligned","Aligned")</f>
        <v>Misaligned</v>
      </c>
    </row>
    <row r="849" spans="1:12" x14ac:dyDescent="0.3">
      <c r="A849" t="s">
        <v>17</v>
      </c>
      <c r="B849" t="s">
        <v>18</v>
      </c>
      <c r="C849">
        <v>70000</v>
      </c>
      <c r="D849" t="s">
        <v>19</v>
      </c>
      <c r="E849" t="s">
        <v>29</v>
      </c>
      <c r="F849" t="s">
        <v>40</v>
      </c>
      <c r="G849">
        <v>2020</v>
      </c>
      <c r="H849" s="1">
        <v>43881</v>
      </c>
      <c r="I849" t="s">
        <v>22</v>
      </c>
      <c r="J849" t="s">
        <v>30</v>
      </c>
      <c r="K849">
        <v>5</v>
      </c>
      <c r="L849" t="str">
        <f>IF(AND(C849&gt; Sheet1!B855,K849&lt;3), "Misaligned","Aligned")</f>
        <v>Aligned</v>
      </c>
    </row>
    <row r="850" spans="1:12" x14ac:dyDescent="0.3">
      <c r="A850" t="s">
        <v>24</v>
      </c>
      <c r="B850">
        <v>30</v>
      </c>
      <c r="C850">
        <v>65000</v>
      </c>
      <c r="D850" t="s">
        <v>19</v>
      </c>
      <c r="E850" t="s">
        <v>33</v>
      </c>
      <c r="F850" t="s">
        <v>39</v>
      </c>
      <c r="G850">
        <v>2020</v>
      </c>
      <c r="H850" s="1">
        <v>43881</v>
      </c>
      <c r="I850" t="s">
        <v>22</v>
      </c>
      <c r="J850" t="s">
        <v>30</v>
      </c>
      <c r="K850">
        <v>5</v>
      </c>
      <c r="L850" t="str">
        <f>IF(AND(C850&gt; Sheet1!B856,K850&lt;3), "Misaligned","Aligned")</f>
        <v>Aligned</v>
      </c>
    </row>
    <row r="851" spans="1:12" x14ac:dyDescent="0.3">
      <c r="A851" t="s">
        <v>41</v>
      </c>
      <c r="B851">
        <v>40</v>
      </c>
      <c r="C851">
        <v>60000</v>
      </c>
      <c r="D851" t="s">
        <v>12</v>
      </c>
      <c r="E851" t="s">
        <v>13</v>
      </c>
      <c r="F851" t="s">
        <v>14</v>
      </c>
      <c r="G851">
        <v>2020</v>
      </c>
      <c r="H851" s="1">
        <v>43845</v>
      </c>
      <c r="I851" t="s">
        <v>26</v>
      </c>
      <c r="J851" t="s">
        <v>27</v>
      </c>
      <c r="K851">
        <v>3</v>
      </c>
      <c r="L851" t="str">
        <f>IF(AND(C851&gt; Sheet1!B857,K851&lt;3), "Misaligned","Aligned")</f>
        <v>Aligned</v>
      </c>
    </row>
    <row r="852" spans="1:12" x14ac:dyDescent="0.3">
      <c r="A852" t="s">
        <v>42</v>
      </c>
      <c r="B852">
        <v>30</v>
      </c>
      <c r="C852">
        <v>65000</v>
      </c>
      <c r="D852" t="s">
        <v>32</v>
      </c>
      <c r="E852" t="s">
        <v>29</v>
      </c>
      <c r="F852" t="s">
        <v>39</v>
      </c>
      <c r="G852">
        <v>2019</v>
      </c>
      <c r="H852" s="1">
        <v>43549</v>
      </c>
      <c r="I852" t="s">
        <v>34</v>
      </c>
      <c r="J852" t="s">
        <v>23</v>
      </c>
      <c r="K852">
        <v>1</v>
      </c>
      <c r="L852" t="str">
        <f>IF(AND(C852&gt; Sheet1!B858,K852&lt;3), "Misaligned","Aligned")</f>
        <v>Misaligned</v>
      </c>
    </row>
    <row r="853" spans="1:12" x14ac:dyDescent="0.3">
      <c r="A853" t="s">
        <v>17</v>
      </c>
      <c r="B853" t="s">
        <v>18</v>
      </c>
      <c r="C853">
        <v>55000</v>
      </c>
      <c r="D853" t="s">
        <v>12</v>
      </c>
      <c r="E853" t="s">
        <v>33</v>
      </c>
      <c r="F853" t="s">
        <v>36</v>
      </c>
      <c r="G853">
        <v>2020</v>
      </c>
      <c r="H853" s="1">
        <v>43881</v>
      </c>
      <c r="I853" t="s">
        <v>22</v>
      </c>
      <c r="J853" t="s">
        <v>27</v>
      </c>
      <c r="K853">
        <v>3</v>
      </c>
      <c r="L853" t="str">
        <f>IF(AND(C853&gt; Sheet1!B859,K853&lt;3), "Misaligned","Aligned")</f>
        <v>Aligned</v>
      </c>
    </row>
    <row r="854" spans="1:12" x14ac:dyDescent="0.3">
      <c r="A854" t="s">
        <v>17</v>
      </c>
      <c r="B854">
        <v>30</v>
      </c>
      <c r="C854">
        <v>55000</v>
      </c>
      <c r="D854" t="s">
        <v>19</v>
      </c>
      <c r="E854" t="s">
        <v>13</v>
      </c>
      <c r="F854" t="s">
        <v>40</v>
      </c>
      <c r="G854">
        <v>2020</v>
      </c>
      <c r="H854" s="1">
        <v>43845</v>
      </c>
      <c r="I854" t="s">
        <v>26</v>
      </c>
      <c r="J854" t="s">
        <v>30</v>
      </c>
      <c r="K854">
        <v>5</v>
      </c>
      <c r="L854" t="str">
        <f>IF(AND(C854&gt; Sheet1!B860,K854&lt;3), "Misaligned","Aligned")</f>
        <v>Aligned</v>
      </c>
    </row>
    <row r="855" spans="1:12" x14ac:dyDescent="0.3">
      <c r="A855" t="s">
        <v>41</v>
      </c>
      <c r="B855">
        <v>30</v>
      </c>
      <c r="C855">
        <v>60000</v>
      </c>
      <c r="D855" t="s">
        <v>19</v>
      </c>
      <c r="E855" t="s">
        <v>20</v>
      </c>
      <c r="F855" t="s">
        <v>39</v>
      </c>
      <c r="G855">
        <v>2018</v>
      </c>
      <c r="H855" s="1">
        <v>43195</v>
      </c>
      <c r="I855" t="s">
        <v>15</v>
      </c>
      <c r="J855" t="s">
        <v>38</v>
      </c>
      <c r="K855">
        <v>4</v>
      </c>
      <c r="L855" t="str">
        <f>IF(AND(C855&gt; Sheet1!B861,K855&lt;3), "Misaligned","Aligned")</f>
        <v>Aligned</v>
      </c>
    </row>
    <row r="856" spans="1:12" x14ac:dyDescent="0.3">
      <c r="A856" t="s">
        <v>41</v>
      </c>
      <c r="B856" t="s">
        <v>18</v>
      </c>
      <c r="C856">
        <v>50000</v>
      </c>
      <c r="D856" t="s">
        <v>12</v>
      </c>
      <c r="E856" t="s">
        <v>20</v>
      </c>
      <c r="F856" t="s">
        <v>14</v>
      </c>
      <c r="G856">
        <v>2019</v>
      </c>
      <c r="H856" s="1">
        <v>43800</v>
      </c>
      <c r="I856" t="s">
        <v>37</v>
      </c>
      <c r="J856" t="s">
        <v>16</v>
      </c>
      <c r="K856">
        <v>2</v>
      </c>
      <c r="L856" t="str">
        <f>IF(AND(C856&gt; Sheet1!B862,K856&lt;3), "Misaligned","Aligned")</f>
        <v>Misaligned</v>
      </c>
    </row>
    <row r="857" spans="1:12" x14ac:dyDescent="0.3">
      <c r="A857" t="s">
        <v>43</v>
      </c>
      <c r="B857">
        <v>50</v>
      </c>
      <c r="C857">
        <v>70000</v>
      </c>
      <c r="D857" t="s">
        <v>12</v>
      </c>
      <c r="E857" t="s">
        <v>25</v>
      </c>
      <c r="F857" t="s">
        <v>40</v>
      </c>
      <c r="G857">
        <v>2020</v>
      </c>
      <c r="H857" s="1">
        <v>43845</v>
      </c>
      <c r="I857" t="s">
        <v>26</v>
      </c>
      <c r="J857" t="s">
        <v>23</v>
      </c>
      <c r="K857">
        <v>1</v>
      </c>
      <c r="L857" t="str">
        <f>IF(AND(C857&gt; Sheet1!B863,K857&lt;3), "Misaligned","Aligned")</f>
        <v>Misaligned</v>
      </c>
    </row>
    <row r="858" spans="1:12" x14ac:dyDescent="0.3">
      <c r="A858" t="s">
        <v>24</v>
      </c>
      <c r="B858">
        <v>30</v>
      </c>
      <c r="C858">
        <v>65000</v>
      </c>
      <c r="D858" t="s">
        <v>19</v>
      </c>
      <c r="E858" t="s">
        <v>29</v>
      </c>
      <c r="F858" t="s">
        <v>14</v>
      </c>
      <c r="G858">
        <v>2019</v>
      </c>
      <c r="H858" s="1">
        <v>43800</v>
      </c>
      <c r="I858" t="s">
        <v>37</v>
      </c>
      <c r="J858" t="s">
        <v>38</v>
      </c>
      <c r="K858">
        <v>4</v>
      </c>
      <c r="L858" t="str">
        <f>IF(AND(C858&gt; Sheet1!B864,K858&lt;3), "Misaligned","Aligned")</f>
        <v>Aligned</v>
      </c>
    </row>
    <row r="859" spans="1:12" x14ac:dyDescent="0.3">
      <c r="A859" t="s">
        <v>41</v>
      </c>
      <c r="B859">
        <v>35</v>
      </c>
      <c r="C859">
        <v>55000</v>
      </c>
      <c r="D859" t="s">
        <v>19</v>
      </c>
      <c r="E859" t="s">
        <v>20</v>
      </c>
      <c r="F859" t="s">
        <v>21</v>
      </c>
      <c r="G859">
        <v>2020</v>
      </c>
      <c r="H859" s="1">
        <v>43881</v>
      </c>
      <c r="I859" t="s">
        <v>22</v>
      </c>
      <c r="J859" t="s">
        <v>16</v>
      </c>
      <c r="K859">
        <v>2</v>
      </c>
      <c r="L859" t="str">
        <f>IF(AND(C859&gt; Sheet1!B865,K859&lt;3), "Misaligned","Aligned")</f>
        <v>Misaligned</v>
      </c>
    </row>
    <row r="860" spans="1:12" x14ac:dyDescent="0.3">
      <c r="A860" t="s">
        <v>35</v>
      </c>
      <c r="B860">
        <v>35</v>
      </c>
      <c r="C860">
        <v>50000</v>
      </c>
      <c r="D860" t="s">
        <v>19</v>
      </c>
      <c r="E860" t="s">
        <v>29</v>
      </c>
      <c r="F860" t="s">
        <v>36</v>
      </c>
      <c r="G860">
        <v>2020</v>
      </c>
      <c r="H860" s="1">
        <v>43881</v>
      </c>
      <c r="I860" t="s">
        <v>22</v>
      </c>
      <c r="J860" t="s">
        <v>23</v>
      </c>
      <c r="K860">
        <v>1</v>
      </c>
      <c r="L860" t="str">
        <f>IF(AND(C860&gt; Sheet1!B866,K860&lt;3), "Misaligned","Aligned")</f>
        <v>Misaligned</v>
      </c>
    </row>
    <row r="861" spans="1:12" x14ac:dyDescent="0.3">
      <c r="A861" t="s">
        <v>44</v>
      </c>
      <c r="B861">
        <v>30</v>
      </c>
      <c r="C861">
        <v>60000</v>
      </c>
      <c r="D861" t="s">
        <v>12</v>
      </c>
      <c r="E861" t="s">
        <v>20</v>
      </c>
      <c r="F861" t="s">
        <v>21</v>
      </c>
      <c r="G861">
        <v>2020</v>
      </c>
      <c r="H861" s="1">
        <v>43845</v>
      </c>
      <c r="I861" t="s">
        <v>26</v>
      </c>
      <c r="J861" t="s">
        <v>23</v>
      </c>
      <c r="K861">
        <v>1</v>
      </c>
      <c r="L861" t="str">
        <f>IF(AND(C861&gt; Sheet1!B867,K861&lt;3), "Misaligned","Aligned")</f>
        <v>Misaligned</v>
      </c>
    </row>
    <row r="862" spans="1:12" x14ac:dyDescent="0.3">
      <c r="A862" t="s">
        <v>42</v>
      </c>
      <c r="B862">
        <v>50</v>
      </c>
      <c r="C862" t="s">
        <v>18</v>
      </c>
      <c r="D862" t="s">
        <v>19</v>
      </c>
      <c r="E862" t="s">
        <v>25</v>
      </c>
      <c r="F862" t="s">
        <v>36</v>
      </c>
      <c r="G862">
        <v>2019</v>
      </c>
      <c r="H862" s="1">
        <v>43800</v>
      </c>
      <c r="I862" t="s">
        <v>37</v>
      </c>
      <c r="J862" t="s">
        <v>30</v>
      </c>
      <c r="K862">
        <v>5</v>
      </c>
      <c r="L862" t="str">
        <f>IF(AND(C862&gt; Sheet1!B868,K862&lt;3), "Misaligned","Aligned")</f>
        <v>Aligned</v>
      </c>
    </row>
    <row r="863" spans="1:12" x14ac:dyDescent="0.3">
      <c r="A863" t="s">
        <v>24</v>
      </c>
      <c r="B863">
        <v>40</v>
      </c>
      <c r="C863">
        <v>55000</v>
      </c>
      <c r="D863" t="s">
        <v>19</v>
      </c>
      <c r="E863" t="s">
        <v>33</v>
      </c>
      <c r="F863" t="s">
        <v>39</v>
      </c>
      <c r="G863">
        <v>2020</v>
      </c>
      <c r="H863" s="1">
        <v>43881</v>
      </c>
      <c r="I863" t="s">
        <v>22</v>
      </c>
      <c r="J863" t="s">
        <v>38</v>
      </c>
      <c r="K863">
        <v>4</v>
      </c>
      <c r="L863" t="str">
        <f>IF(AND(C863&gt; Sheet1!B869,K863&lt;3), "Misaligned","Aligned")</f>
        <v>Aligned</v>
      </c>
    </row>
    <row r="864" spans="1:12" x14ac:dyDescent="0.3">
      <c r="A864" t="s">
        <v>31</v>
      </c>
      <c r="B864" t="s">
        <v>18</v>
      </c>
      <c r="C864">
        <v>60000</v>
      </c>
      <c r="D864" t="s">
        <v>32</v>
      </c>
      <c r="E864" t="s">
        <v>25</v>
      </c>
      <c r="F864" t="s">
        <v>40</v>
      </c>
      <c r="G864">
        <v>2018</v>
      </c>
      <c r="H864" s="1">
        <v>43195</v>
      </c>
      <c r="I864" t="s">
        <v>15</v>
      </c>
      <c r="J864" t="s">
        <v>23</v>
      </c>
      <c r="K864">
        <v>1</v>
      </c>
      <c r="L864" t="str">
        <f>IF(AND(C864&gt; Sheet1!B870,K864&lt;3), "Misaligned","Aligned")</f>
        <v>Misaligned</v>
      </c>
    </row>
    <row r="865" spans="1:12" x14ac:dyDescent="0.3">
      <c r="A865" t="s">
        <v>35</v>
      </c>
      <c r="B865">
        <v>35</v>
      </c>
      <c r="C865">
        <v>65000</v>
      </c>
      <c r="D865" t="s">
        <v>12</v>
      </c>
      <c r="E865" t="s">
        <v>13</v>
      </c>
      <c r="F865" t="s">
        <v>39</v>
      </c>
      <c r="G865">
        <v>2019</v>
      </c>
      <c r="H865" s="1">
        <v>43549</v>
      </c>
      <c r="I865" t="s">
        <v>34</v>
      </c>
      <c r="J865" t="s">
        <v>23</v>
      </c>
      <c r="K865">
        <v>1</v>
      </c>
      <c r="L865" t="str">
        <f>IF(AND(C865&gt; Sheet1!B871,K865&lt;3), "Misaligned","Aligned")</f>
        <v>Misaligned</v>
      </c>
    </row>
    <row r="866" spans="1:12" x14ac:dyDescent="0.3">
      <c r="A866" t="s">
        <v>28</v>
      </c>
      <c r="B866">
        <v>40</v>
      </c>
      <c r="C866">
        <v>70000</v>
      </c>
      <c r="D866" t="s">
        <v>32</v>
      </c>
      <c r="E866" t="s">
        <v>20</v>
      </c>
      <c r="F866" t="s">
        <v>36</v>
      </c>
      <c r="G866">
        <v>2019</v>
      </c>
      <c r="H866" s="1">
        <v>43549</v>
      </c>
      <c r="I866" t="s">
        <v>34</v>
      </c>
      <c r="J866" t="s">
        <v>16</v>
      </c>
      <c r="K866">
        <v>2</v>
      </c>
      <c r="L866" t="str">
        <f>IF(AND(C866&gt; Sheet1!B872,K866&lt;3), "Misaligned","Aligned")</f>
        <v>Misaligned</v>
      </c>
    </row>
    <row r="867" spans="1:12" x14ac:dyDescent="0.3">
      <c r="A867" t="s">
        <v>41</v>
      </c>
      <c r="B867">
        <v>30</v>
      </c>
      <c r="C867">
        <v>55000</v>
      </c>
      <c r="D867" t="s">
        <v>32</v>
      </c>
      <c r="E867" t="s">
        <v>13</v>
      </c>
      <c r="F867" t="s">
        <v>36</v>
      </c>
      <c r="G867">
        <v>2020</v>
      </c>
      <c r="H867" s="1">
        <v>43881</v>
      </c>
      <c r="I867" t="s">
        <v>22</v>
      </c>
      <c r="J867" t="s">
        <v>30</v>
      </c>
      <c r="K867">
        <v>5</v>
      </c>
      <c r="L867" t="str">
        <f>IF(AND(C867&gt; Sheet1!B873,K867&lt;3), "Misaligned","Aligned")</f>
        <v>Aligned</v>
      </c>
    </row>
    <row r="868" spans="1:12" x14ac:dyDescent="0.3">
      <c r="A868" t="s">
        <v>31</v>
      </c>
      <c r="B868">
        <v>40</v>
      </c>
      <c r="C868">
        <v>55000</v>
      </c>
      <c r="D868" t="s">
        <v>19</v>
      </c>
      <c r="E868" t="s">
        <v>13</v>
      </c>
      <c r="F868" t="s">
        <v>36</v>
      </c>
      <c r="G868">
        <v>2019</v>
      </c>
      <c r="H868" s="1">
        <v>43800</v>
      </c>
      <c r="I868" t="s">
        <v>37</v>
      </c>
      <c r="J868" t="s">
        <v>27</v>
      </c>
      <c r="K868">
        <v>3</v>
      </c>
      <c r="L868" t="str">
        <f>IF(AND(C868&gt; Sheet1!B874,K868&lt;3), "Misaligned","Aligned")</f>
        <v>Aligned</v>
      </c>
    </row>
    <row r="869" spans="1:12" x14ac:dyDescent="0.3">
      <c r="A869" t="s">
        <v>41</v>
      </c>
      <c r="B869">
        <v>25</v>
      </c>
      <c r="C869">
        <v>65000</v>
      </c>
      <c r="D869" t="s">
        <v>12</v>
      </c>
      <c r="E869" t="s">
        <v>29</v>
      </c>
      <c r="F869" t="s">
        <v>14</v>
      </c>
      <c r="G869">
        <v>2020</v>
      </c>
      <c r="H869" s="1">
        <v>43881</v>
      </c>
      <c r="I869" t="s">
        <v>22</v>
      </c>
      <c r="J869" t="s">
        <v>30</v>
      </c>
      <c r="K869">
        <v>5</v>
      </c>
      <c r="L869" t="str">
        <f>IF(AND(C869&gt; Sheet1!B875,K869&lt;3), "Misaligned","Aligned")</f>
        <v>Aligned</v>
      </c>
    </row>
    <row r="870" spans="1:12" x14ac:dyDescent="0.3">
      <c r="A870" t="s">
        <v>17</v>
      </c>
      <c r="B870">
        <v>35</v>
      </c>
      <c r="C870" t="s">
        <v>18</v>
      </c>
      <c r="D870" t="s">
        <v>19</v>
      </c>
      <c r="E870" t="s">
        <v>20</v>
      </c>
      <c r="F870" t="s">
        <v>40</v>
      </c>
      <c r="G870">
        <v>2019</v>
      </c>
      <c r="H870" s="1">
        <v>43800</v>
      </c>
      <c r="I870" t="s">
        <v>37</v>
      </c>
      <c r="J870" t="s">
        <v>27</v>
      </c>
      <c r="K870">
        <v>3</v>
      </c>
      <c r="L870" t="str">
        <f>IF(AND(C870&gt; Sheet1!B876,K870&lt;3), "Misaligned","Aligned")</f>
        <v>Aligned</v>
      </c>
    </row>
    <row r="871" spans="1:12" x14ac:dyDescent="0.3">
      <c r="A871" t="s">
        <v>35</v>
      </c>
      <c r="B871">
        <v>30</v>
      </c>
      <c r="C871">
        <v>50000</v>
      </c>
      <c r="D871" t="s">
        <v>12</v>
      </c>
      <c r="E871" t="s">
        <v>13</v>
      </c>
      <c r="F871" t="s">
        <v>39</v>
      </c>
      <c r="G871">
        <v>2018</v>
      </c>
      <c r="H871" s="1">
        <v>43195</v>
      </c>
      <c r="I871" t="s">
        <v>15</v>
      </c>
      <c r="J871" t="s">
        <v>38</v>
      </c>
      <c r="K871">
        <v>4</v>
      </c>
      <c r="L871" t="str">
        <f>IF(AND(C871&gt; Sheet1!B877,K871&lt;3), "Misaligned","Aligned")</f>
        <v>Aligned</v>
      </c>
    </row>
    <row r="872" spans="1:12" x14ac:dyDescent="0.3">
      <c r="A872" t="s">
        <v>17</v>
      </c>
      <c r="B872" t="s">
        <v>18</v>
      </c>
      <c r="C872">
        <v>70000</v>
      </c>
      <c r="D872" t="s">
        <v>32</v>
      </c>
      <c r="E872" t="s">
        <v>33</v>
      </c>
      <c r="F872" t="s">
        <v>39</v>
      </c>
      <c r="G872">
        <v>2019</v>
      </c>
      <c r="H872" s="1">
        <v>43800</v>
      </c>
      <c r="I872" t="s">
        <v>37</v>
      </c>
      <c r="J872" t="s">
        <v>38</v>
      </c>
      <c r="K872">
        <v>4</v>
      </c>
      <c r="L872" t="str">
        <f>IF(AND(C872&gt; Sheet1!B878,K872&lt;3), "Misaligned","Aligned")</f>
        <v>Aligned</v>
      </c>
    </row>
    <row r="873" spans="1:12" x14ac:dyDescent="0.3">
      <c r="A873" t="s">
        <v>43</v>
      </c>
      <c r="B873">
        <v>50</v>
      </c>
      <c r="C873">
        <v>55000</v>
      </c>
      <c r="D873" t="s">
        <v>12</v>
      </c>
      <c r="E873" t="s">
        <v>13</v>
      </c>
      <c r="F873" t="s">
        <v>21</v>
      </c>
      <c r="G873">
        <v>2020</v>
      </c>
      <c r="H873" s="1">
        <v>43881</v>
      </c>
      <c r="I873" t="s">
        <v>22</v>
      </c>
      <c r="J873" t="s">
        <v>23</v>
      </c>
      <c r="K873">
        <v>1</v>
      </c>
      <c r="L873" t="str">
        <f>IF(AND(C873&gt; Sheet1!B879,K873&lt;3), "Misaligned","Aligned")</f>
        <v>Misaligned</v>
      </c>
    </row>
    <row r="874" spans="1:12" x14ac:dyDescent="0.3">
      <c r="A874" t="s">
        <v>17</v>
      </c>
      <c r="B874">
        <v>30</v>
      </c>
      <c r="C874">
        <v>70000</v>
      </c>
      <c r="D874" t="s">
        <v>19</v>
      </c>
      <c r="E874" t="s">
        <v>33</v>
      </c>
      <c r="F874" t="s">
        <v>36</v>
      </c>
      <c r="G874">
        <v>2018</v>
      </c>
      <c r="H874" s="1">
        <v>43195</v>
      </c>
      <c r="I874" t="s">
        <v>15</v>
      </c>
      <c r="J874" t="s">
        <v>38</v>
      </c>
      <c r="K874">
        <v>4</v>
      </c>
      <c r="L874" t="str">
        <f>IF(AND(C874&gt; Sheet1!B880,K874&lt;3), "Misaligned","Aligned")</f>
        <v>Aligned</v>
      </c>
    </row>
    <row r="875" spans="1:12" x14ac:dyDescent="0.3">
      <c r="A875" t="s">
        <v>43</v>
      </c>
      <c r="B875" t="s">
        <v>18</v>
      </c>
      <c r="C875">
        <v>55000</v>
      </c>
      <c r="D875" t="s">
        <v>19</v>
      </c>
      <c r="E875" t="s">
        <v>29</v>
      </c>
      <c r="F875" t="s">
        <v>36</v>
      </c>
      <c r="G875">
        <v>2020</v>
      </c>
      <c r="H875" s="1">
        <v>43845</v>
      </c>
      <c r="I875" t="s">
        <v>26</v>
      </c>
      <c r="J875" t="s">
        <v>23</v>
      </c>
      <c r="K875">
        <v>1</v>
      </c>
      <c r="L875" t="str">
        <f>IF(AND(C875&gt; Sheet1!B881,K875&lt;3), "Misaligned","Aligned")</f>
        <v>Misaligned</v>
      </c>
    </row>
    <row r="876" spans="1:12" x14ac:dyDescent="0.3">
      <c r="A876" t="s">
        <v>43</v>
      </c>
      <c r="B876">
        <v>50</v>
      </c>
      <c r="C876">
        <v>70000</v>
      </c>
      <c r="D876" t="s">
        <v>19</v>
      </c>
      <c r="E876" t="s">
        <v>13</v>
      </c>
      <c r="F876" t="s">
        <v>36</v>
      </c>
      <c r="G876">
        <v>2019</v>
      </c>
      <c r="H876" s="1">
        <v>43549</v>
      </c>
      <c r="I876" t="s">
        <v>34</v>
      </c>
      <c r="J876" t="s">
        <v>30</v>
      </c>
      <c r="K876">
        <v>5</v>
      </c>
      <c r="L876" t="str">
        <f>IF(AND(C876&gt; Sheet1!B882,K876&lt;3), "Misaligned","Aligned")</f>
        <v>Aligned</v>
      </c>
    </row>
    <row r="877" spans="1:12" x14ac:dyDescent="0.3">
      <c r="A877" t="s">
        <v>31</v>
      </c>
      <c r="B877">
        <v>50</v>
      </c>
      <c r="C877">
        <v>60000</v>
      </c>
      <c r="D877" t="s">
        <v>12</v>
      </c>
      <c r="E877" t="s">
        <v>25</v>
      </c>
      <c r="F877" t="s">
        <v>39</v>
      </c>
      <c r="G877">
        <v>2020</v>
      </c>
      <c r="H877" s="1">
        <v>43881</v>
      </c>
      <c r="I877" t="s">
        <v>22</v>
      </c>
      <c r="J877" t="s">
        <v>38</v>
      </c>
      <c r="K877">
        <v>4</v>
      </c>
      <c r="L877" t="str">
        <f>IF(AND(C877&gt; Sheet1!B883,K877&lt;3), "Misaligned","Aligned")</f>
        <v>Aligned</v>
      </c>
    </row>
    <row r="878" spans="1:12" x14ac:dyDescent="0.3">
      <c r="A878" t="s">
        <v>41</v>
      </c>
      <c r="B878">
        <v>30</v>
      </c>
      <c r="C878">
        <v>55000</v>
      </c>
      <c r="D878" t="s">
        <v>32</v>
      </c>
      <c r="E878" t="s">
        <v>29</v>
      </c>
      <c r="F878" t="s">
        <v>21</v>
      </c>
      <c r="G878">
        <v>2020</v>
      </c>
      <c r="H878" s="1">
        <v>43881</v>
      </c>
      <c r="I878" t="s">
        <v>22</v>
      </c>
      <c r="J878" t="s">
        <v>30</v>
      </c>
      <c r="K878">
        <v>5</v>
      </c>
      <c r="L878" t="str">
        <f>IF(AND(C878&gt; Sheet1!B884,K878&lt;3), "Misaligned","Aligned")</f>
        <v>Aligned</v>
      </c>
    </row>
    <row r="879" spans="1:12" x14ac:dyDescent="0.3">
      <c r="A879" t="s">
        <v>28</v>
      </c>
      <c r="B879">
        <v>40</v>
      </c>
      <c r="C879">
        <v>70000</v>
      </c>
      <c r="D879" t="s">
        <v>32</v>
      </c>
      <c r="E879" t="s">
        <v>33</v>
      </c>
      <c r="F879" t="s">
        <v>14</v>
      </c>
      <c r="G879">
        <v>2020</v>
      </c>
      <c r="H879" s="1">
        <v>43881</v>
      </c>
      <c r="I879" t="s">
        <v>22</v>
      </c>
      <c r="J879" t="s">
        <v>30</v>
      </c>
      <c r="K879">
        <v>5</v>
      </c>
      <c r="L879" t="str">
        <f>IF(AND(C879&gt; Sheet1!B885,K879&lt;3), "Misaligned","Aligned")</f>
        <v>Aligned</v>
      </c>
    </row>
    <row r="880" spans="1:12" x14ac:dyDescent="0.3">
      <c r="A880" t="s">
        <v>17</v>
      </c>
      <c r="B880">
        <v>40</v>
      </c>
      <c r="C880">
        <v>50000</v>
      </c>
      <c r="D880" t="s">
        <v>12</v>
      </c>
      <c r="E880" t="s">
        <v>29</v>
      </c>
      <c r="F880" t="s">
        <v>40</v>
      </c>
      <c r="G880">
        <v>2018</v>
      </c>
      <c r="H880" s="1">
        <v>43195</v>
      </c>
      <c r="I880" t="s">
        <v>15</v>
      </c>
      <c r="J880" t="s">
        <v>38</v>
      </c>
      <c r="K880">
        <v>4</v>
      </c>
      <c r="L880" t="str">
        <f>IF(AND(C880&gt; Sheet1!B886,K880&lt;3), "Misaligned","Aligned")</f>
        <v>Aligned</v>
      </c>
    </row>
    <row r="881" spans="1:12" x14ac:dyDescent="0.3">
      <c r="A881" t="s">
        <v>35</v>
      </c>
      <c r="B881">
        <v>50</v>
      </c>
      <c r="C881">
        <v>60000</v>
      </c>
      <c r="D881" t="s">
        <v>19</v>
      </c>
      <c r="E881" t="s">
        <v>13</v>
      </c>
      <c r="F881" t="s">
        <v>14</v>
      </c>
      <c r="G881">
        <v>2020</v>
      </c>
      <c r="H881" s="1">
        <v>43845</v>
      </c>
      <c r="I881" t="s">
        <v>26</v>
      </c>
      <c r="J881" t="s">
        <v>30</v>
      </c>
      <c r="K881">
        <v>5</v>
      </c>
      <c r="L881" t="str">
        <f>IF(AND(C881&gt; Sheet1!B887,K881&lt;3), "Misaligned","Aligned")</f>
        <v>Aligned</v>
      </c>
    </row>
    <row r="882" spans="1:12" x14ac:dyDescent="0.3">
      <c r="A882" t="s">
        <v>43</v>
      </c>
      <c r="B882">
        <v>40</v>
      </c>
      <c r="C882">
        <v>60000</v>
      </c>
      <c r="D882" t="s">
        <v>32</v>
      </c>
      <c r="E882" t="s">
        <v>20</v>
      </c>
      <c r="F882" t="s">
        <v>39</v>
      </c>
      <c r="G882">
        <v>2019</v>
      </c>
      <c r="H882" s="1">
        <v>43800</v>
      </c>
      <c r="I882" t="s">
        <v>37</v>
      </c>
      <c r="J882" t="s">
        <v>38</v>
      </c>
      <c r="K882">
        <v>4</v>
      </c>
      <c r="L882" t="str">
        <f>IF(AND(C882&gt; Sheet1!B888,K882&lt;3), "Misaligned","Aligned")</f>
        <v>Aligned</v>
      </c>
    </row>
    <row r="883" spans="1:12" x14ac:dyDescent="0.3">
      <c r="A883" t="s">
        <v>41</v>
      </c>
      <c r="B883">
        <v>25</v>
      </c>
      <c r="C883">
        <v>50000</v>
      </c>
      <c r="D883" t="s">
        <v>19</v>
      </c>
      <c r="E883" t="s">
        <v>20</v>
      </c>
      <c r="F883" t="s">
        <v>36</v>
      </c>
      <c r="G883">
        <v>2020</v>
      </c>
      <c r="H883" s="1">
        <v>43845</v>
      </c>
      <c r="I883" t="s">
        <v>26</v>
      </c>
      <c r="J883" t="s">
        <v>38</v>
      </c>
      <c r="K883">
        <v>4</v>
      </c>
      <c r="L883" t="str">
        <f>IF(AND(C883&gt; Sheet1!B889,K883&lt;3), "Misaligned","Aligned")</f>
        <v>Aligned</v>
      </c>
    </row>
    <row r="884" spans="1:12" x14ac:dyDescent="0.3">
      <c r="A884" t="s">
        <v>42</v>
      </c>
      <c r="B884">
        <v>50</v>
      </c>
      <c r="C884">
        <v>70000</v>
      </c>
      <c r="D884" t="s">
        <v>12</v>
      </c>
      <c r="E884" t="s">
        <v>33</v>
      </c>
      <c r="F884" t="s">
        <v>40</v>
      </c>
      <c r="G884">
        <v>2018</v>
      </c>
      <c r="H884" s="1">
        <v>43195</v>
      </c>
      <c r="I884" t="s">
        <v>15</v>
      </c>
      <c r="J884" t="s">
        <v>38</v>
      </c>
      <c r="K884">
        <v>4</v>
      </c>
      <c r="L884" t="str">
        <f>IF(AND(C884&gt; Sheet1!B890,K884&lt;3), "Misaligned","Aligned")</f>
        <v>Aligned</v>
      </c>
    </row>
    <row r="885" spans="1:12" x14ac:dyDescent="0.3">
      <c r="A885" t="s">
        <v>24</v>
      </c>
      <c r="B885">
        <v>50</v>
      </c>
      <c r="C885">
        <v>65000</v>
      </c>
      <c r="D885" t="s">
        <v>19</v>
      </c>
      <c r="E885" t="s">
        <v>33</v>
      </c>
      <c r="F885" t="s">
        <v>39</v>
      </c>
      <c r="G885">
        <v>2020</v>
      </c>
      <c r="H885" s="1">
        <v>43881</v>
      </c>
      <c r="I885" t="s">
        <v>22</v>
      </c>
      <c r="J885" t="s">
        <v>27</v>
      </c>
      <c r="K885">
        <v>3</v>
      </c>
      <c r="L885" t="str">
        <f>IF(AND(C885&gt; Sheet1!B891,K885&lt;3), "Misaligned","Aligned")</f>
        <v>Aligned</v>
      </c>
    </row>
    <row r="886" spans="1:12" x14ac:dyDescent="0.3">
      <c r="A886" t="s">
        <v>31</v>
      </c>
      <c r="B886" t="s">
        <v>18</v>
      </c>
      <c r="C886">
        <v>50000</v>
      </c>
      <c r="D886" t="s">
        <v>32</v>
      </c>
      <c r="E886" t="s">
        <v>20</v>
      </c>
      <c r="F886" t="s">
        <v>39</v>
      </c>
      <c r="G886">
        <v>2019</v>
      </c>
      <c r="H886" s="1">
        <v>43549</v>
      </c>
      <c r="I886" t="s">
        <v>34</v>
      </c>
      <c r="J886" t="s">
        <v>30</v>
      </c>
      <c r="K886">
        <v>5</v>
      </c>
      <c r="L886" t="str">
        <f>IF(AND(C886&gt; Sheet1!B892,K886&lt;3), "Misaligned","Aligned")</f>
        <v>Aligned</v>
      </c>
    </row>
    <row r="887" spans="1:12" x14ac:dyDescent="0.3">
      <c r="A887" t="s">
        <v>28</v>
      </c>
      <c r="B887">
        <v>40</v>
      </c>
      <c r="C887">
        <v>70000</v>
      </c>
      <c r="D887" t="s">
        <v>32</v>
      </c>
      <c r="E887" t="s">
        <v>33</v>
      </c>
      <c r="F887" t="s">
        <v>39</v>
      </c>
      <c r="G887">
        <v>2020</v>
      </c>
      <c r="H887" s="1">
        <v>43881</v>
      </c>
      <c r="I887" t="s">
        <v>22</v>
      </c>
      <c r="J887" t="s">
        <v>16</v>
      </c>
      <c r="K887">
        <v>2</v>
      </c>
      <c r="L887" t="str">
        <f>IF(AND(C887&gt; Sheet1!B893,K887&lt;3), "Misaligned","Aligned")</f>
        <v>Misaligned</v>
      </c>
    </row>
    <row r="888" spans="1:12" x14ac:dyDescent="0.3">
      <c r="A888" t="s">
        <v>11</v>
      </c>
      <c r="B888">
        <v>50</v>
      </c>
      <c r="C888">
        <v>50000</v>
      </c>
      <c r="D888" t="s">
        <v>19</v>
      </c>
      <c r="E888" t="s">
        <v>29</v>
      </c>
      <c r="F888" t="s">
        <v>40</v>
      </c>
      <c r="G888">
        <v>2019</v>
      </c>
      <c r="H888" s="1">
        <v>43800</v>
      </c>
      <c r="I888" t="s">
        <v>37</v>
      </c>
      <c r="J888" t="s">
        <v>38</v>
      </c>
      <c r="K888">
        <v>4</v>
      </c>
      <c r="L888" t="str">
        <f>IF(AND(C888&gt; Sheet1!B894,K888&lt;3), "Misaligned","Aligned")</f>
        <v>Aligned</v>
      </c>
    </row>
    <row r="889" spans="1:12" x14ac:dyDescent="0.3">
      <c r="A889" t="s">
        <v>31</v>
      </c>
      <c r="B889">
        <v>25</v>
      </c>
      <c r="C889">
        <v>50000</v>
      </c>
      <c r="D889" t="s">
        <v>12</v>
      </c>
      <c r="E889" t="s">
        <v>25</v>
      </c>
      <c r="F889" t="s">
        <v>40</v>
      </c>
      <c r="G889">
        <v>2019</v>
      </c>
      <c r="H889" s="1">
        <v>43549</v>
      </c>
      <c r="I889" t="s">
        <v>34</v>
      </c>
      <c r="J889" t="s">
        <v>30</v>
      </c>
      <c r="K889">
        <v>5</v>
      </c>
      <c r="L889" t="str">
        <f>IF(AND(C889&gt; Sheet1!B895,K889&lt;3), "Misaligned","Aligned")</f>
        <v>Aligned</v>
      </c>
    </row>
    <row r="890" spans="1:12" x14ac:dyDescent="0.3">
      <c r="A890" t="s">
        <v>42</v>
      </c>
      <c r="B890" t="s">
        <v>18</v>
      </c>
      <c r="C890">
        <v>55000</v>
      </c>
      <c r="D890" t="s">
        <v>19</v>
      </c>
      <c r="E890" t="s">
        <v>25</v>
      </c>
      <c r="F890" t="s">
        <v>21</v>
      </c>
      <c r="G890">
        <v>2020</v>
      </c>
      <c r="H890" s="1">
        <v>43881</v>
      </c>
      <c r="I890" t="s">
        <v>22</v>
      </c>
      <c r="J890" t="s">
        <v>23</v>
      </c>
      <c r="K890">
        <v>1</v>
      </c>
      <c r="L890" t="str">
        <f>IF(AND(C890&gt; Sheet1!B896,K890&lt;3), "Misaligned","Aligned")</f>
        <v>Misaligned</v>
      </c>
    </row>
    <row r="891" spans="1:12" x14ac:dyDescent="0.3">
      <c r="A891" t="s">
        <v>24</v>
      </c>
      <c r="B891">
        <v>30</v>
      </c>
      <c r="C891">
        <v>70000</v>
      </c>
      <c r="D891" t="s">
        <v>12</v>
      </c>
      <c r="E891" t="s">
        <v>29</v>
      </c>
      <c r="F891" t="s">
        <v>21</v>
      </c>
      <c r="G891">
        <v>2019</v>
      </c>
      <c r="H891" s="1">
        <v>43549</v>
      </c>
      <c r="I891" t="s">
        <v>34</v>
      </c>
      <c r="J891" t="s">
        <v>38</v>
      </c>
      <c r="K891">
        <v>4</v>
      </c>
      <c r="L891" t="str">
        <f>IF(AND(C891&gt; Sheet1!B897,K891&lt;3), "Misaligned","Aligned")</f>
        <v>Aligned</v>
      </c>
    </row>
    <row r="892" spans="1:12" x14ac:dyDescent="0.3">
      <c r="A892" t="s">
        <v>42</v>
      </c>
      <c r="B892">
        <v>50</v>
      </c>
      <c r="C892">
        <v>65000</v>
      </c>
      <c r="D892" t="s">
        <v>19</v>
      </c>
      <c r="E892" t="s">
        <v>25</v>
      </c>
      <c r="F892" t="s">
        <v>14</v>
      </c>
      <c r="G892">
        <v>2020</v>
      </c>
      <c r="H892" s="1">
        <v>43845</v>
      </c>
      <c r="I892" t="s">
        <v>26</v>
      </c>
      <c r="J892" t="s">
        <v>38</v>
      </c>
      <c r="K892">
        <v>4</v>
      </c>
      <c r="L892" t="str">
        <f>IF(AND(C892&gt; Sheet1!B898,K892&lt;3), "Misaligned","Aligned")</f>
        <v>Aligned</v>
      </c>
    </row>
    <row r="893" spans="1:12" x14ac:dyDescent="0.3">
      <c r="A893" t="s">
        <v>17</v>
      </c>
      <c r="B893">
        <v>25</v>
      </c>
      <c r="C893">
        <v>55000</v>
      </c>
      <c r="D893" t="s">
        <v>32</v>
      </c>
      <c r="E893" t="s">
        <v>13</v>
      </c>
      <c r="F893" t="s">
        <v>40</v>
      </c>
      <c r="G893">
        <v>2018</v>
      </c>
      <c r="H893" s="1">
        <v>43195</v>
      </c>
      <c r="I893" t="s">
        <v>15</v>
      </c>
      <c r="J893" t="s">
        <v>16</v>
      </c>
      <c r="K893">
        <v>2</v>
      </c>
      <c r="L893" t="str">
        <f>IF(AND(C893&gt; Sheet1!B899,K893&lt;3), "Misaligned","Aligned")</f>
        <v>Misaligned</v>
      </c>
    </row>
    <row r="894" spans="1:12" x14ac:dyDescent="0.3">
      <c r="A894" t="s">
        <v>43</v>
      </c>
      <c r="B894">
        <v>35</v>
      </c>
      <c r="C894">
        <v>50000</v>
      </c>
      <c r="D894" t="s">
        <v>12</v>
      </c>
      <c r="E894" t="s">
        <v>29</v>
      </c>
      <c r="F894" t="s">
        <v>40</v>
      </c>
      <c r="G894">
        <v>2020</v>
      </c>
      <c r="H894" s="1">
        <v>43881</v>
      </c>
      <c r="I894" t="s">
        <v>22</v>
      </c>
      <c r="J894" t="s">
        <v>27</v>
      </c>
      <c r="K894">
        <v>3</v>
      </c>
      <c r="L894" t="str">
        <f>IF(AND(C894&gt; Sheet1!B900,K894&lt;3), "Misaligned","Aligned")</f>
        <v>Aligned</v>
      </c>
    </row>
    <row r="895" spans="1:12" x14ac:dyDescent="0.3">
      <c r="A895" t="s">
        <v>28</v>
      </c>
      <c r="B895">
        <v>25</v>
      </c>
      <c r="C895" t="s">
        <v>18</v>
      </c>
      <c r="D895" t="s">
        <v>12</v>
      </c>
      <c r="E895" t="s">
        <v>33</v>
      </c>
      <c r="F895" t="s">
        <v>40</v>
      </c>
      <c r="G895">
        <v>2019</v>
      </c>
      <c r="H895" s="1">
        <v>43800</v>
      </c>
      <c r="I895" t="s">
        <v>37</v>
      </c>
      <c r="J895" t="s">
        <v>27</v>
      </c>
      <c r="K895">
        <v>3</v>
      </c>
      <c r="L895" t="str">
        <f>IF(AND(C895&gt; Sheet1!B901,K895&lt;3), "Misaligned","Aligned")</f>
        <v>Aligned</v>
      </c>
    </row>
    <row r="896" spans="1:12" x14ac:dyDescent="0.3">
      <c r="A896" t="s">
        <v>44</v>
      </c>
      <c r="B896">
        <v>25</v>
      </c>
      <c r="C896">
        <v>50000</v>
      </c>
      <c r="D896" t="s">
        <v>12</v>
      </c>
      <c r="E896" t="s">
        <v>29</v>
      </c>
      <c r="F896" t="s">
        <v>21</v>
      </c>
      <c r="G896">
        <v>2020</v>
      </c>
      <c r="H896" s="1">
        <v>43845</v>
      </c>
      <c r="I896" t="s">
        <v>26</v>
      </c>
      <c r="J896" t="s">
        <v>38</v>
      </c>
      <c r="K896">
        <v>4</v>
      </c>
      <c r="L896" t="str">
        <f>IF(AND(C896&gt; Sheet1!B902,K896&lt;3), "Misaligned","Aligned")</f>
        <v>Aligned</v>
      </c>
    </row>
    <row r="897" spans="1:12" x14ac:dyDescent="0.3">
      <c r="A897" t="s">
        <v>43</v>
      </c>
      <c r="B897" t="s">
        <v>18</v>
      </c>
      <c r="C897">
        <v>50000</v>
      </c>
      <c r="D897" t="s">
        <v>32</v>
      </c>
      <c r="E897" t="s">
        <v>20</v>
      </c>
      <c r="F897" t="s">
        <v>39</v>
      </c>
      <c r="G897">
        <v>2020</v>
      </c>
      <c r="H897" s="1">
        <v>43881</v>
      </c>
      <c r="I897" t="s">
        <v>22</v>
      </c>
      <c r="J897" t="s">
        <v>30</v>
      </c>
      <c r="K897">
        <v>5</v>
      </c>
      <c r="L897" t="str">
        <f>IF(AND(C897&gt; Sheet1!B903,K897&lt;3), "Misaligned","Aligned")</f>
        <v>Aligned</v>
      </c>
    </row>
    <row r="898" spans="1:12" x14ac:dyDescent="0.3">
      <c r="A898" t="s">
        <v>44</v>
      </c>
      <c r="B898">
        <v>30</v>
      </c>
      <c r="C898">
        <v>70000</v>
      </c>
      <c r="D898" t="s">
        <v>19</v>
      </c>
      <c r="E898" t="s">
        <v>33</v>
      </c>
      <c r="F898" t="s">
        <v>36</v>
      </c>
      <c r="G898">
        <v>2020</v>
      </c>
      <c r="H898" s="1">
        <v>43845</v>
      </c>
      <c r="I898" t="s">
        <v>26</v>
      </c>
      <c r="J898" t="s">
        <v>23</v>
      </c>
      <c r="K898">
        <v>1</v>
      </c>
      <c r="L898" t="str">
        <f>IF(AND(C898&gt; Sheet1!B904,K898&lt;3), "Misaligned","Aligned")</f>
        <v>Misaligned</v>
      </c>
    </row>
    <row r="899" spans="1:12" x14ac:dyDescent="0.3">
      <c r="A899" t="s">
        <v>24</v>
      </c>
      <c r="B899">
        <v>35</v>
      </c>
      <c r="C899">
        <v>70000</v>
      </c>
      <c r="D899" t="s">
        <v>32</v>
      </c>
      <c r="E899" t="s">
        <v>20</v>
      </c>
      <c r="F899" t="s">
        <v>21</v>
      </c>
      <c r="G899">
        <v>2019</v>
      </c>
      <c r="H899" s="1">
        <v>43800</v>
      </c>
      <c r="I899" t="s">
        <v>37</v>
      </c>
      <c r="J899" t="s">
        <v>23</v>
      </c>
      <c r="K899">
        <v>1</v>
      </c>
      <c r="L899" t="str">
        <f>IF(AND(C899&gt; Sheet1!B905,K899&lt;3), "Misaligned","Aligned")</f>
        <v>Misaligned</v>
      </c>
    </row>
    <row r="900" spans="1:12" x14ac:dyDescent="0.3">
      <c r="A900" t="s">
        <v>41</v>
      </c>
      <c r="B900">
        <v>40</v>
      </c>
      <c r="C900">
        <v>55000</v>
      </c>
      <c r="D900" t="s">
        <v>12</v>
      </c>
      <c r="E900" t="s">
        <v>33</v>
      </c>
      <c r="F900" t="s">
        <v>40</v>
      </c>
      <c r="G900">
        <v>2020</v>
      </c>
      <c r="H900" s="1">
        <v>43881</v>
      </c>
      <c r="I900" t="s">
        <v>22</v>
      </c>
      <c r="J900" t="s">
        <v>30</v>
      </c>
      <c r="K900">
        <v>5</v>
      </c>
      <c r="L900" t="str">
        <f>IF(AND(C900&gt; Sheet1!B906,K900&lt;3), "Misaligned","Aligned")</f>
        <v>Aligned</v>
      </c>
    </row>
    <row r="901" spans="1:12" x14ac:dyDescent="0.3">
      <c r="A901" t="s">
        <v>11</v>
      </c>
      <c r="B901">
        <v>40</v>
      </c>
      <c r="C901">
        <v>65000</v>
      </c>
      <c r="D901" t="s">
        <v>19</v>
      </c>
      <c r="E901" t="s">
        <v>25</v>
      </c>
      <c r="F901" t="s">
        <v>21</v>
      </c>
      <c r="G901">
        <v>2019</v>
      </c>
      <c r="H901" s="1">
        <v>43800</v>
      </c>
      <c r="I901" t="s">
        <v>37</v>
      </c>
      <c r="J901" t="s">
        <v>38</v>
      </c>
      <c r="K901">
        <v>4</v>
      </c>
      <c r="L901" t="str">
        <f>IF(AND(C901&gt; Sheet1!B907,K901&lt;3), "Misaligned","Aligned")</f>
        <v>Aligned</v>
      </c>
    </row>
    <row r="902" spans="1:12" x14ac:dyDescent="0.3">
      <c r="A902" t="s">
        <v>35</v>
      </c>
      <c r="B902">
        <v>25</v>
      </c>
      <c r="C902">
        <v>55000</v>
      </c>
      <c r="D902" t="s">
        <v>32</v>
      </c>
      <c r="E902" t="s">
        <v>29</v>
      </c>
      <c r="F902" t="s">
        <v>14</v>
      </c>
      <c r="G902">
        <v>2019</v>
      </c>
      <c r="H902" s="1">
        <v>43549</v>
      </c>
      <c r="I902" t="s">
        <v>34</v>
      </c>
      <c r="J902" t="s">
        <v>23</v>
      </c>
      <c r="K902">
        <v>1</v>
      </c>
      <c r="L902" t="str">
        <f>IF(AND(C902&gt; Sheet1!B908,K902&lt;3), "Misaligned","Aligned")</f>
        <v>Misaligned</v>
      </c>
    </row>
    <row r="903" spans="1:12" x14ac:dyDescent="0.3">
      <c r="A903" t="s">
        <v>43</v>
      </c>
      <c r="B903" t="s">
        <v>18</v>
      </c>
      <c r="C903">
        <v>60000</v>
      </c>
      <c r="D903" t="s">
        <v>12</v>
      </c>
      <c r="E903" t="s">
        <v>13</v>
      </c>
      <c r="F903" t="s">
        <v>40</v>
      </c>
      <c r="G903">
        <v>2019</v>
      </c>
      <c r="H903" s="1">
        <v>43800</v>
      </c>
      <c r="I903" t="s">
        <v>37</v>
      </c>
      <c r="J903" t="s">
        <v>27</v>
      </c>
      <c r="K903">
        <v>3</v>
      </c>
      <c r="L903" t="str">
        <f>IF(AND(C903&gt; Sheet1!B909,K903&lt;3), "Misaligned","Aligned")</f>
        <v>Aligned</v>
      </c>
    </row>
    <row r="904" spans="1:12" x14ac:dyDescent="0.3">
      <c r="A904" t="s">
        <v>28</v>
      </c>
      <c r="B904" t="s">
        <v>18</v>
      </c>
      <c r="C904">
        <v>50000</v>
      </c>
      <c r="D904" t="s">
        <v>12</v>
      </c>
      <c r="E904" t="s">
        <v>33</v>
      </c>
      <c r="F904" t="s">
        <v>14</v>
      </c>
      <c r="G904">
        <v>2019</v>
      </c>
      <c r="H904" s="1">
        <v>43549</v>
      </c>
      <c r="I904" t="s">
        <v>34</v>
      </c>
      <c r="J904" t="s">
        <v>30</v>
      </c>
      <c r="K904">
        <v>5</v>
      </c>
      <c r="L904" t="str">
        <f>IF(AND(C904&gt; Sheet1!B910,K904&lt;3), "Misaligned","Aligned")</f>
        <v>Aligned</v>
      </c>
    </row>
    <row r="905" spans="1:12" x14ac:dyDescent="0.3">
      <c r="A905" t="s">
        <v>42</v>
      </c>
      <c r="B905">
        <v>40</v>
      </c>
      <c r="C905" t="s">
        <v>18</v>
      </c>
      <c r="D905" t="s">
        <v>32</v>
      </c>
      <c r="E905" t="s">
        <v>33</v>
      </c>
      <c r="F905" t="s">
        <v>40</v>
      </c>
      <c r="G905">
        <v>2020</v>
      </c>
      <c r="H905" s="1">
        <v>43881</v>
      </c>
      <c r="I905" t="s">
        <v>22</v>
      </c>
      <c r="J905" t="s">
        <v>16</v>
      </c>
      <c r="K905">
        <v>2</v>
      </c>
      <c r="L905" t="str">
        <f>IF(AND(C905&gt; Sheet1!B911,K905&lt;3), "Misaligned","Aligned")</f>
        <v>Misaligned</v>
      </c>
    </row>
    <row r="906" spans="1:12" x14ac:dyDescent="0.3">
      <c r="A906" t="s">
        <v>28</v>
      </c>
      <c r="B906">
        <v>35</v>
      </c>
      <c r="C906">
        <v>50000</v>
      </c>
      <c r="D906" t="s">
        <v>32</v>
      </c>
      <c r="E906" t="s">
        <v>20</v>
      </c>
      <c r="F906" t="s">
        <v>21</v>
      </c>
      <c r="G906">
        <v>2019</v>
      </c>
      <c r="H906" s="1">
        <v>43549</v>
      </c>
      <c r="I906" t="s">
        <v>34</v>
      </c>
      <c r="J906" t="s">
        <v>38</v>
      </c>
      <c r="K906">
        <v>4</v>
      </c>
      <c r="L906" t="str">
        <f>IF(AND(C906&gt; Sheet1!B912,K906&lt;3), "Misaligned","Aligned")</f>
        <v>Aligned</v>
      </c>
    </row>
    <row r="907" spans="1:12" x14ac:dyDescent="0.3">
      <c r="A907" t="s">
        <v>24</v>
      </c>
      <c r="B907">
        <v>30</v>
      </c>
      <c r="C907">
        <v>50000</v>
      </c>
      <c r="D907" t="s">
        <v>32</v>
      </c>
      <c r="E907" t="s">
        <v>25</v>
      </c>
      <c r="F907" t="s">
        <v>39</v>
      </c>
      <c r="G907">
        <v>2020</v>
      </c>
      <c r="H907" s="1">
        <v>43881</v>
      </c>
      <c r="I907" t="s">
        <v>22</v>
      </c>
      <c r="J907" t="s">
        <v>30</v>
      </c>
      <c r="K907">
        <v>5</v>
      </c>
      <c r="L907" t="str">
        <f>IF(AND(C907&gt; Sheet1!B913,K907&lt;3), "Misaligned","Aligned")</f>
        <v>Aligned</v>
      </c>
    </row>
    <row r="908" spans="1:12" x14ac:dyDescent="0.3">
      <c r="A908" t="s">
        <v>44</v>
      </c>
      <c r="B908">
        <v>35</v>
      </c>
      <c r="C908">
        <v>55000</v>
      </c>
      <c r="D908" t="s">
        <v>12</v>
      </c>
      <c r="E908" t="s">
        <v>20</v>
      </c>
      <c r="F908" t="s">
        <v>36</v>
      </c>
      <c r="G908">
        <v>2020</v>
      </c>
      <c r="H908" s="1">
        <v>43881</v>
      </c>
      <c r="I908" t="s">
        <v>22</v>
      </c>
      <c r="J908" t="s">
        <v>23</v>
      </c>
      <c r="K908">
        <v>1</v>
      </c>
      <c r="L908" t="str">
        <f>IF(AND(C908&gt; Sheet1!B914,K908&lt;3), "Misaligned","Aligned")</f>
        <v>Misaligned</v>
      </c>
    </row>
    <row r="909" spans="1:12" x14ac:dyDescent="0.3">
      <c r="A909" t="s">
        <v>42</v>
      </c>
      <c r="B909">
        <v>50</v>
      </c>
      <c r="C909" t="s">
        <v>18</v>
      </c>
      <c r="D909" t="s">
        <v>32</v>
      </c>
      <c r="E909" t="s">
        <v>20</v>
      </c>
      <c r="F909" t="s">
        <v>14</v>
      </c>
      <c r="G909">
        <v>2018</v>
      </c>
      <c r="H909" s="1">
        <v>43195</v>
      </c>
      <c r="I909" t="s">
        <v>15</v>
      </c>
      <c r="J909" t="s">
        <v>38</v>
      </c>
      <c r="K909">
        <v>4</v>
      </c>
      <c r="L909" t="str">
        <f>IF(AND(C909&gt; Sheet1!B915,K909&lt;3), "Misaligned","Aligned")</f>
        <v>Aligned</v>
      </c>
    </row>
    <row r="910" spans="1:12" x14ac:dyDescent="0.3">
      <c r="A910" t="s">
        <v>35</v>
      </c>
      <c r="B910">
        <v>50</v>
      </c>
      <c r="C910" t="s">
        <v>18</v>
      </c>
      <c r="D910" t="s">
        <v>12</v>
      </c>
      <c r="E910" t="s">
        <v>25</v>
      </c>
      <c r="F910" t="s">
        <v>21</v>
      </c>
      <c r="G910">
        <v>2020</v>
      </c>
      <c r="H910" s="1">
        <v>43881</v>
      </c>
      <c r="I910" t="s">
        <v>22</v>
      </c>
      <c r="J910" t="s">
        <v>27</v>
      </c>
      <c r="K910">
        <v>3</v>
      </c>
      <c r="L910" t="str">
        <f>IF(AND(C910&gt; Sheet1!B916,K910&lt;3), "Misaligned","Aligned")</f>
        <v>Aligned</v>
      </c>
    </row>
    <row r="911" spans="1:12" x14ac:dyDescent="0.3">
      <c r="A911" t="s">
        <v>35</v>
      </c>
      <c r="B911">
        <v>30</v>
      </c>
      <c r="C911" t="s">
        <v>18</v>
      </c>
      <c r="D911" t="s">
        <v>32</v>
      </c>
      <c r="E911" t="s">
        <v>13</v>
      </c>
      <c r="F911" t="s">
        <v>39</v>
      </c>
      <c r="G911">
        <v>2019</v>
      </c>
      <c r="H911" s="1">
        <v>43549</v>
      </c>
      <c r="I911" t="s">
        <v>34</v>
      </c>
      <c r="J911" t="s">
        <v>38</v>
      </c>
      <c r="K911">
        <v>4</v>
      </c>
      <c r="L911" t="str">
        <f>IF(AND(C911&gt; Sheet1!B917,K911&lt;3), "Misaligned","Aligned")</f>
        <v>Aligned</v>
      </c>
    </row>
    <row r="912" spans="1:12" x14ac:dyDescent="0.3">
      <c r="A912" t="s">
        <v>43</v>
      </c>
      <c r="B912">
        <v>40</v>
      </c>
      <c r="C912">
        <v>55000</v>
      </c>
      <c r="D912" t="s">
        <v>12</v>
      </c>
      <c r="E912" t="s">
        <v>20</v>
      </c>
      <c r="F912" t="s">
        <v>21</v>
      </c>
      <c r="G912">
        <v>2018</v>
      </c>
      <c r="H912" s="1">
        <v>43195</v>
      </c>
      <c r="I912" t="s">
        <v>15</v>
      </c>
      <c r="J912" t="s">
        <v>38</v>
      </c>
      <c r="K912">
        <v>4</v>
      </c>
      <c r="L912" t="str">
        <f>IF(AND(C912&gt; Sheet1!B918,K912&lt;3), "Misaligned","Aligned")</f>
        <v>Aligned</v>
      </c>
    </row>
    <row r="913" spans="1:12" x14ac:dyDescent="0.3">
      <c r="A913" t="s">
        <v>24</v>
      </c>
      <c r="B913">
        <v>30</v>
      </c>
      <c r="C913">
        <v>50000</v>
      </c>
      <c r="D913" t="s">
        <v>12</v>
      </c>
      <c r="E913" t="s">
        <v>20</v>
      </c>
      <c r="F913" t="s">
        <v>14</v>
      </c>
      <c r="G913">
        <v>2018</v>
      </c>
      <c r="H913" s="1">
        <v>43195</v>
      </c>
      <c r="I913" t="s">
        <v>15</v>
      </c>
      <c r="J913" t="s">
        <v>27</v>
      </c>
      <c r="K913">
        <v>3</v>
      </c>
      <c r="L913" t="str">
        <f>IF(AND(C913&gt; Sheet1!B919,K913&lt;3), "Misaligned","Aligned")</f>
        <v>Aligned</v>
      </c>
    </row>
    <row r="914" spans="1:12" x14ac:dyDescent="0.3">
      <c r="A914" t="s">
        <v>41</v>
      </c>
      <c r="B914" t="s">
        <v>18</v>
      </c>
      <c r="C914">
        <v>55000</v>
      </c>
      <c r="D914" t="s">
        <v>19</v>
      </c>
      <c r="E914" t="s">
        <v>33</v>
      </c>
      <c r="F914" t="s">
        <v>36</v>
      </c>
      <c r="G914">
        <v>2020</v>
      </c>
      <c r="H914" s="1">
        <v>43881</v>
      </c>
      <c r="I914" t="s">
        <v>22</v>
      </c>
      <c r="J914" t="s">
        <v>27</v>
      </c>
      <c r="K914">
        <v>3</v>
      </c>
      <c r="L914" t="str">
        <f>IF(AND(C914&gt; Sheet1!B920,K914&lt;3), "Misaligned","Aligned")</f>
        <v>Aligned</v>
      </c>
    </row>
    <row r="915" spans="1:12" x14ac:dyDescent="0.3">
      <c r="A915" t="s">
        <v>24</v>
      </c>
      <c r="B915">
        <v>50</v>
      </c>
      <c r="C915">
        <v>70000</v>
      </c>
      <c r="D915" t="s">
        <v>32</v>
      </c>
      <c r="E915" t="s">
        <v>25</v>
      </c>
      <c r="F915" t="s">
        <v>21</v>
      </c>
      <c r="G915">
        <v>2019</v>
      </c>
      <c r="H915" s="1">
        <v>43800</v>
      </c>
      <c r="I915" t="s">
        <v>37</v>
      </c>
      <c r="J915" t="s">
        <v>38</v>
      </c>
      <c r="K915">
        <v>4</v>
      </c>
      <c r="L915" t="str">
        <f>IF(AND(C915&gt; Sheet1!B921,K915&lt;3), "Misaligned","Aligned")</f>
        <v>Aligned</v>
      </c>
    </row>
    <row r="916" spans="1:12" x14ac:dyDescent="0.3">
      <c r="A916" t="s">
        <v>44</v>
      </c>
      <c r="B916">
        <v>25</v>
      </c>
      <c r="C916">
        <v>70000</v>
      </c>
      <c r="D916" t="s">
        <v>32</v>
      </c>
      <c r="E916" t="s">
        <v>29</v>
      </c>
      <c r="F916" t="s">
        <v>40</v>
      </c>
      <c r="G916">
        <v>2019</v>
      </c>
      <c r="H916" s="1">
        <v>43800</v>
      </c>
      <c r="I916" t="s">
        <v>37</v>
      </c>
      <c r="J916" t="s">
        <v>27</v>
      </c>
      <c r="K916">
        <v>3</v>
      </c>
      <c r="L916" t="str">
        <f>IF(AND(C916&gt; Sheet1!B922,K916&lt;3), "Misaligned","Aligned")</f>
        <v>Aligned</v>
      </c>
    </row>
    <row r="917" spans="1:12" x14ac:dyDescent="0.3">
      <c r="A917" t="s">
        <v>28</v>
      </c>
      <c r="B917">
        <v>25</v>
      </c>
      <c r="C917">
        <v>55000</v>
      </c>
      <c r="D917" t="s">
        <v>12</v>
      </c>
      <c r="E917" t="s">
        <v>13</v>
      </c>
      <c r="F917" t="s">
        <v>39</v>
      </c>
      <c r="G917">
        <v>2018</v>
      </c>
      <c r="H917" s="1">
        <v>43195</v>
      </c>
      <c r="I917" t="s">
        <v>15</v>
      </c>
      <c r="J917" t="s">
        <v>30</v>
      </c>
      <c r="K917">
        <v>5</v>
      </c>
      <c r="L917" t="str">
        <f>IF(AND(C917&gt; Sheet1!B923,K917&lt;3), "Misaligned","Aligned")</f>
        <v>Aligned</v>
      </c>
    </row>
    <row r="918" spans="1:12" x14ac:dyDescent="0.3">
      <c r="A918" t="s">
        <v>35</v>
      </c>
      <c r="B918">
        <v>40</v>
      </c>
      <c r="C918" t="s">
        <v>18</v>
      </c>
      <c r="D918" t="s">
        <v>12</v>
      </c>
      <c r="E918" t="s">
        <v>13</v>
      </c>
      <c r="F918" t="s">
        <v>21</v>
      </c>
      <c r="G918">
        <v>2020</v>
      </c>
      <c r="H918" s="1">
        <v>43881</v>
      </c>
      <c r="I918" t="s">
        <v>22</v>
      </c>
      <c r="J918" t="s">
        <v>27</v>
      </c>
      <c r="K918">
        <v>3</v>
      </c>
      <c r="L918" t="str">
        <f>IF(AND(C918&gt; Sheet1!B924,K918&lt;3), "Misaligned","Aligned")</f>
        <v>Aligned</v>
      </c>
    </row>
    <row r="919" spans="1:12" x14ac:dyDescent="0.3">
      <c r="A919" t="s">
        <v>28</v>
      </c>
      <c r="B919" t="s">
        <v>18</v>
      </c>
      <c r="C919">
        <v>50000</v>
      </c>
      <c r="D919" t="s">
        <v>12</v>
      </c>
      <c r="E919" t="s">
        <v>25</v>
      </c>
      <c r="F919" t="s">
        <v>39</v>
      </c>
      <c r="G919">
        <v>2019</v>
      </c>
      <c r="H919" s="1">
        <v>43800</v>
      </c>
      <c r="I919" t="s">
        <v>37</v>
      </c>
      <c r="J919" t="s">
        <v>27</v>
      </c>
      <c r="K919">
        <v>3</v>
      </c>
      <c r="L919" t="str">
        <f>IF(AND(C919&gt; Sheet1!B925,K919&lt;3), "Misaligned","Aligned")</f>
        <v>Aligned</v>
      </c>
    </row>
    <row r="920" spans="1:12" x14ac:dyDescent="0.3">
      <c r="A920" t="s">
        <v>28</v>
      </c>
      <c r="B920">
        <v>35</v>
      </c>
      <c r="C920">
        <v>55000</v>
      </c>
      <c r="D920" t="s">
        <v>19</v>
      </c>
      <c r="E920" t="s">
        <v>33</v>
      </c>
      <c r="F920" t="s">
        <v>40</v>
      </c>
      <c r="G920">
        <v>2020</v>
      </c>
      <c r="H920" s="1">
        <v>43881</v>
      </c>
      <c r="I920" t="s">
        <v>22</v>
      </c>
      <c r="J920" t="s">
        <v>38</v>
      </c>
      <c r="K920">
        <v>4</v>
      </c>
      <c r="L920" t="str">
        <f>IF(AND(C920&gt; Sheet1!B926,K920&lt;3), "Misaligned","Aligned")</f>
        <v>Aligned</v>
      </c>
    </row>
    <row r="921" spans="1:12" x14ac:dyDescent="0.3">
      <c r="A921" t="s">
        <v>28</v>
      </c>
      <c r="B921" t="s">
        <v>18</v>
      </c>
      <c r="C921">
        <v>55000</v>
      </c>
      <c r="D921" t="s">
        <v>19</v>
      </c>
      <c r="E921" t="s">
        <v>33</v>
      </c>
      <c r="F921" t="s">
        <v>36</v>
      </c>
      <c r="G921">
        <v>2020</v>
      </c>
      <c r="H921" s="1">
        <v>43881</v>
      </c>
      <c r="I921" t="s">
        <v>22</v>
      </c>
      <c r="J921" t="s">
        <v>30</v>
      </c>
      <c r="K921">
        <v>5</v>
      </c>
      <c r="L921" t="str">
        <f>IF(AND(C921&gt; Sheet1!B927,K921&lt;3), "Misaligned","Aligned")</f>
        <v>Aligned</v>
      </c>
    </row>
    <row r="922" spans="1:12" x14ac:dyDescent="0.3">
      <c r="A922" t="s">
        <v>35</v>
      </c>
      <c r="B922">
        <v>25</v>
      </c>
      <c r="C922">
        <v>55000</v>
      </c>
      <c r="D922" t="s">
        <v>12</v>
      </c>
      <c r="E922" t="s">
        <v>25</v>
      </c>
      <c r="F922" t="s">
        <v>36</v>
      </c>
      <c r="G922">
        <v>2018</v>
      </c>
      <c r="H922" s="1">
        <v>43195</v>
      </c>
      <c r="I922" t="s">
        <v>15</v>
      </c>
      <c r="J922" t="s">
        <v>16</v>
      </c>
      <c r="K922">
        <v>2</v>
      </c>
      <c r="L922" t="str">
        <f>IF(AND(C922&gt; Sheet1!B928,K922&lt;3), "Misaligned","Aligned")</f>
        <v>Misaligned</v>
      </c>
    </row>
    <row r="923" spans="1:12" x14ac:dyDescent="0.3">
      <c r="A923" t="s">
        <v>31</v>
      </c>
      <c r="B923">
        <v>25</v>
      </c>
      <c r="C923">
        <v>60000</v>
      </c>
      <c r="D923" t="s">
        <v>32</v>
      </c>
      <c r="E923" t="s">
        <v>33</v>
      </c>
      <c r="F923" t="s">
        <v>40</v>
      </c>
      <c r="G923">
        <v>2018</v>
      </c>
      <c r="H923" s="1">
        <v>43195</v>
      </c>
      <c r="I923" t="s">
        <v>15</v>
      </c>
      <c r="J923" t="s">
        <v>16</v>
      </c>
      <c r="K923">
        <v>2</v>
      </c>
      <c r="L923" t="str">
        <f>IF(AND(C923&gt; Sheet1!B929,K923&lt;3), "Misaligned","Aligned")</f>
        <v>Misaligned</v>
      </c>
    </row>
    <row r="924" spans="1:12" x14ac:dyDescent="0.3">
      <c r="A924" t="s">
        <v>17</v>
      </c>
      <c r="B924">
        <v>50</v>
      </c>
      <c r="C924">
        <v>70000</v>
      </c>
      <c r="D924" t="s">
        <v>32</v>
      </c>
      <c r="E924" t="s">
        <v>13</v>
      </c>
      <c r="F924" t="s">
        <v>39</v>
      </c>
      <c r="G924">
        <v>2020</v>
      </c>
      <c r="H924" s="1">
        <v>43845</v>
      </c>
      <c r="I924" t="s">
        <v>26</v>
      </c>
      <c r="J924" t="s">
        <v>23</v>
      </c>
      <c r="K924">
        <v>1</v>
      </c>
      <c r="L924" t="str">
        <f>IF(AND(C924&gt; Sheet1!B930,K924&lt;3), "Misaligned","Aligned")</f>
        <v>Misaligned</v>
      </c>
    </row>
    <row r="925" spans="1:12" x14ac:dyDescent="0.3">
      <c r="A925" t="s">
        <v>44</v>
      </c>
      <c r="B925" t="s">
        <v>18</v>
      </c>
      <c r="C925" t="s">
        <v>18</v>
      </c>
      <c r="D925" t="s">
        <v>19</v>
      </c>
      <c r="E925" t="s">
        <v>13</v>
      </c>
      <c r="F925" t="s">
        <v>21</v>
      </c>
      <c r="G925">
        <v>2019</v>
      </c>
      <c r="H925" s="1">
        <v>43800</v>
      </c>
      <c r="I925" t="s">
        <v>37</v>
      </c>
      <c r="J925" t="s">
        <v>27</v>
      </c>
      <c r="K925">
        <v>3</v>
      </c>
      <c r="L925" t="str">
        <f>IF(AND(C925&gt; Sheet1!B931,K925&lt;3), "Misaligned","Aligned")</f>
        <v>Aligned</v>
      </c>
    </row>
    <row r="926" spans="1:12" x14ac:dyDescent="0.3">
      <c r="A926" t="s">
        <v>31</v>
      </c>
      <c r="B926" t="s">
        <v>18</v>
      </c>
      <c r="C926">
        <v>65000</v>
      </c>
      <c r="D926" t="s">
        <v>19</v>
      </c>
      <c r="E926" t="s">
        <v>29</v>
      </c>
      <c r="F926" t="s">
        <v>40</v>
      </c>
      <c r="G926">
        <v>2019</v>
      </c>
      <c r="H926" s="1">
        <v>43800</v>
      </c>
      <c r="I926" t="s">
        <v>37</v>
      </c>
      <c r="J926" t="s">
        <v>27</v>
      </c>
      <c r="K926">
        <v>3</v>
      </c>
      <c r="L926" t="str">
        <f>IF(AND(C926&gt; Sheet1!B932,K926&lt;3), "Misaligned","Aligned")</f>
        <v>Aligned</v>
      </c>
    </row>
    <row r="927" spans="1:12" x14ac:dyDescent="0.3">
      <c r="A927" t="s">
        <v>44</v>
      </c>
      <c r="B927">
        <v>25</v>
      </c>
      <c r="C927" t="s">
        <v>18</v>
      </c>
      <c r="D927" t="s">
        <v>12</v>
      </c>
      <c r="E927" t="s">
        <v>25</v>
      </c>
      <c r="F927" t="s">
        <v>14</v>
      </c>
      <c r="G927">
        <v>2019</v>
      </c>
      <c r="H927" s="1">
        <v>43800</v>
      </c>
      <c r="I927" t="s">
        <v>37</v>
      </c>
      <c r="J927" t="s">
        <v>30</v>
      </c>
      <c r="K927">
        <v>5</v>
      </c>
      <c r="L927" t="str">
        <f>IF(AND(C927&gt; Sheet1!B933,K927&lt;3), "Misaligned","Aligned")</f>
        <v>Aligned</v>
      </c>
    </row>
    <row r="928" spans="1:12" x14ac:dyDescent="0.3">
      <c r="A928" t="s">
        <v>42</v>
      </c>
      <c r="B928">
        <v>35</v>
      </c>
      <c r="C928">
        <v>65000</v>
      </c>
      <c r="D928" t="s">
        <v>32</v>
      </c>
      <c r="E928" t="s">
        <v>20</v>
      </c>
      <c r="F928" t="s">
        <v>39</v>
      </c>
      <c r="G928">
        <v>2019</v>
      </c>
      <c r="H928" s="1">
        <v>43549</v>
      </c>
      <c r="I928" t="s">
        <v>34</v>
      </c>
      <c r="J928" t="s">
        <v>16</v>
      </c>
      <c r="K928">
        <v>2</v>
      </c>
      <c r="L928" t="str">
        <f>IF(AND(C928&gt; Sheet1!B934,K928&lt;3), "Misaligned","Aligned")</f>
        <v>Misaligned</v>
      </c>
    </row>
    <row r="929" spans="1:12" x14ac:dyDescent="0.3">
      <c r="A929" t="s">
        <v>24</v>
      </c>
      <c r="B929">
        <v>40</v>
      </c>
      <c r="C929">
        <v>60000</v>
      </c>
      <c r="D929" t="s">
        <v>12</v>
      </c>
      <c r="E929" t="s">
        <v>20</v>
      </c>
      <c r="F929" t="s">
        <v>36</v>
      </c>
      <c r="G929">
        <v>2020</v>
      </c>
      <c r="H929" s="1">
        <v>43881</v>
      </c>
      <c r="I929" t="s">
        <v>22</v>
      </c>
      <c r="J929" t="s">
        <v>23</v>
      </c>
      <c r="K929">
        <v>1</v>
      </c>
      <c r="L929" t="str">
        <f>IF(AND(C929&gt; Sheet1!B935,K929&lt;3), "Misaligned","Aligned")</f>
        <v>Misaligned</v>
      </c>
    </row>
    <row r="930" spans="1:12" x14ac:dyDescent="0.3">
      <c r="A930" t="s">
        <v>24</v>
      </c>
      <c r="B930">
        <v>40</v>
      </c>
      <c r="C930">
        <v>55000</v>
      </c>
      <c r="D930" t="s">
        <v>19</v>
      </c>
      <c r="E930" t="s">
        <v>29</v>
      </c>
      <c r="F930" t="s">
        <v>40</v>
      </c>
      <c r="G930">
        <v>2018</v>
      </c>
      <c r="H930" s="1">
        <v>43195</v>
      </c>
      <c r="I930" t="s">
        <v>15</v>
      </c>
      <c r="J930" t="s">
        <v>30</v>
      </c>
      <c r="K930">
        <v>5</v>
      </c>
      <c r="L930" t="str">
        <f>IF(AND(C930&gt; Sheet1!B936,K930&lt;3), "Misaligned","Aligned")</f>
        <v>Aligned</v>
      </c>
    </row>
    <row r="931" spans="1:12" x14ac:dyDescent="0.3">
      <c r="A931" t="s">
        <v>11</v>
      </c>
      <c r="B931" t="s">
        <v>18</v>
      </c>
      <c r="C931">
        <v>60000</v>
      </c>
      <c r="D931" t="s">
        <v>32</v>
      </c>
      <c r="E931" t="s">
        <v>29</v>
      </c>
      <c r="F931" t="s">
        <v>36</v>
      </c>
      <c r="G931">
        <v>2019</v>
      </c>
      <c r="H931" s="1">
        <v>43800</v>
      </c>
      <c r="I931" t="s">
        <v>37</v>
      </c>
      <c r="J931" t="s">
        <v>27</v>
      </c>
      <c r="K931">
        <v>3</v>
      </c>
      <c r="L931" t="str">
        <f>IF(AND(C931&gt; Sheet1!B937,K931&lt;3), "Misaligned","Aligned")</f>
        <v>Aligned</v>
      </c>
    </row>
    <row r="932" spans="1:12" x14ac:dyDescent="0.3">
      <c r="A932" t="s">
        <v>24</v>
      </c>
      <c r="B932">
        <v>40</v>
      </c>
      <c r="C932">
        <v>60000</v>
      </c>
      <c r="D932" t="s">
        <v>32</v>
      </c>
      <c r="E932" t="s">
        <v>33</v>
      </c>
      <c r="F932" t="s">
        <v>39</v>
      </c>
      <c r="G932">
        <v>2020</v>
      </c>
      <c r="H932" s="1">
        <v>43845</v>
      </c>
      <c r="I932" t="s">
        <v>26</v>
      </c>
      <c r="J932" t="s">
        <v>16</v>
      </c>
      <c r="K932">
        <v>2</v>
      </c>
      <c r="L932" t="str">
        <f>IF(AND(C932&gt; Sheet1!B938,K932&lt;3), "Misaligned","Aligned")</f>
        <v>Misaligned</v>
      </c>
    </row>
    <row r="933" spans="1:12" x14ac:dyDescent="0.3">
      <c r="A933" t="s">
        <v>35</v>
      </c>
      <c r="B933">
        <v>25</v>
      </c>
      <c r="C933">
        <v>50000</v>
      </c>
      <c r="D933" t="s">
        <v>19</v>
      </c>
      <c r="E933" t="s">
        <v>29</v>
      </c>
      <c r="F933" t="s">
        <v>36</v>
      </c>
      <c r="G933">
        <v>2019</v>
      </c>
      <c r="H933" s="1">
        <v>43800</v>
      </c>
      <c r="I933" t="s">
        <v>37</v>
      </c>
      <c r="J933" t="s">
        <v>23</v>
      </c>
      <c r="K933">
        <v>1</v>
      </c>
      <c r="L933" t="str">
        <f>IF(AND(C933&gt; Sheet1!B939,K933&lt;3), "Misaligned","Aligned")</f>
        <v>Misaligned</v>
      </c>
    </row>
    <row r="934" spans="1:12" x14ac:dyDescent="0.3">
      <c r="A934" t="s">
        <v>41</v>
      </c>
      <c r="B934">
        <v>25</v>
      </c>
      <c r="C934">
        <v>70000</v>
      </c>
      <c r="D934" t="s">
        <v>12</v>
      </c>
      <c r="E934" t="s">
        <v>29</v>
      </c>
      <c r="F934" t="s">
        <v>40</v>
      </c>
      <c r="G934">
        <v>2020</v>
      </c>
      <c r="H934" s="1">
        <v>43881</v>
      </c>
      <c r="I934" t="s">
        <v>22</v>
      </c>
      <c r="J934" t="s">
        <v>38</v>
      </c>
      <c r="K934">
        <v>4</v>
      </c>
      <c r="L934" t="str">
        <f>IF(AND(C934&gt; Sheet1!B940,K934&lt;3), "Misaligned","Aligned")</f>
        <v>Aligned</v>
      </c>
    </row>
    <row r="935" spans="1:12" x14ac:dyDescent="0.3">
      <c r="A935" t="s">
        <v>43</v>
      </c>
      <c r="B935" t="s">
        <v>18</v>
      </c>
      <c r="C935">
        <v>65000</v>
      </c>
      <c r="D935" t="s">
        <v>12</v>
      </c>
      <c r="E935" t="s">
        <v>20</v>
      </c>
      <c r="F935" t="s">
        <v>39</v>
      </c>
      <c r="G935">
        <v>2020</v>
      </c>
      <c r="H935" s="1">
        <v>43881</v>
      </c>
      <c r="I935" t="s">
        <v>22</v>
      </c>
      <c r="J935" t="s">
        <v>16</v>
      </c>
      <c r="K935">
        <v>2</v>
      </c>
      <c r="L935" t="str">
        <f>IF(AND(C935&gt; Sheet1!B941,K935&lt;3), "Misaligned","Aligned")</f>
        <v>Misaligned</v>
      </c>
    </row>
    <row r="936" spans="1:12" x14ac:dyDescent="0.3">
      <c r="A936" t="s">
        <v>11</v>
      </c>
      <c r="B936" t="s">
        <v>18</v>
      </c>
      <c r="C936">
        <v>55000</v>
      </c>
      <c r="D936" t="s">
        <v>32</v>
      </c>
      <c r="E936" t="s">
        <v>33</v>
      </c>
      <c r="F936" t="s">
        <v>14</v>
      </c>
      <c r="G936">
        <v>2018</v>
      </c>
      <c r="H936" s="1">
        <v>43195</v>
      </c>
      <c r="I936" t="s">
        <v>15</v>
      </c>
      <c r="J936" t="s">
        <v>23</v>
      </c>
      <c r="K936">
        <v>1</v>
      </c>
      <c r="L936" t="str">
        <f>IF(AND(C936&gt; Sheet1!B942,K936&lt;3), "Misaligned","Aligned")</f>
        <v>Misaligned</v>
      </c>
    </row>
    <row r="937" spans="1:12" x14ac:dyDescent="0.3">
      <c r="A937" t="s">
        <v>43</v>
      </c>
      <c r="B937">
        <v>50</v>
      </c>
      <c r="C937">
        <v>65000</v>
      </c>
      <c r="D937" t="s">
        <v>19</v>
      </c>
      <c r="E937" t="s">
        <v>29</v>
      </c>
      <c r="F937" t="s">
        <v>40</v>
      </c>
      <c r="G937">
        <v>2019</v>
      </c>
      <c r="H937" s="1">
        <v>43549</v>
      </c>
      <c r="I937" t="s">
        <v>34</v>
      </c>
      <c r="J937" t="s">
        <v>30</v>
      </c>
      <c r="K937">
        <v>5</v>
      </c>
      <c r="L937" t="str">
        <f>IF(AND(C937&gt; Sheet1!B943,K937&lt;3), "Misaligned","Aligned")</f>
        <v>Aligned</v>
      </c>
    </row>
    <row r="938" spans="1:12" x14ac:dyDescent="0.3">
      <c r="A938" t="s">
        <v>44</v>
      </c>
      <c r="B938" t="s">
        <v>18</v>
      </c>
      <c r="C938" t="s">
        <v>18</v>
      </c>
      <c r="D938" t="s">
        <v>32</v>
      </c>
      <c r="E938" t="s">
        <v>29</v>
      </c>
      <c r="F938" t="s">
        <v>21</v>
      </c>
      <c r="G938">
        <v>2018</v>
      </c>
      <c r="H938" s="1">
        <v>43195</v>
      </c>
      <c r="I938" t="s">
        <v>15</v>
      </c>
      <c r="J938" t="s">
        <v>38</v>
      </c>
      <c r="K938">
        <v>4</v>
      </c>
      <c r="L938" t="str">
        <f>IF(AND(C938&gt; Sheet1!B944,K938&lt;3), "Misaligned","Aligned")</f>
        <v>Aligned</v>
      </c>
    </row>
    <row r="939" spans="1:12" x14ac:dyDescent="0.3">
      <c r="A939" t="s">
        <v>43</v>
      </c>
      <c r="B939">
        <v>35</v>
      </c>
      <c r="C939">
        <v>65000</v>
      </c>
      <c r="D939" t="s">
        <v>19</v>
      </c>
      <c r="E939" t="s">
        <v>33</v>
      </c>
      <c r="F939" t="s">
        <v>40</v>
      </c>
      <c r="G939">
        <v>2019</v>
      </c>
      <c r="H939" s="1">
        <v>43800</v>
      </c>
      <c r="I939" t="s">
        <v>37</v>
      </c>
      <c r="J939" t="s">
        <v>23</v>
      </c>
      <c r="K939">
        <v>1</v>
      </c>
      <c r="L939" t="str">
        <f>IF(AND(C939&gt; Sheet1!B945,K939&lt;3), "Misaligned","Aligned")</f>
        <v>Misaligned</v>
      </c>
    </row>
    <row r="940" spans="1:12" x14ac:dyDescent="0.3">
      <c r="A940" t="s">
        <v>43</v>
      </c>
      <c r="B940">
        <v>40</v>
      </c>
      <c r="C940" t="s">
        <v>18</v>
      </c>
      <c r="D940" t="s">
        <v>12</v>
      </c>
      <c r="E940" t="s">
        <v>25</v>
      </c>
      <c r="F940" t="s">
        <v>39</v>
      </c>
      <c r="G940">
        <v>2020</v>
      </c>
      <c r="H940" s="1">
        <v>43845</v>
      </c>
      <c r="I940" t="s">
        <v>26</v>
      </c>
      <c r="J940" t="s">
        <v>23</v>
      </c>
      <c r="K940">
        <v>1</v>
      </c>
      <c r="L940" t="str">
        <f>IF(AND(C940&gt; Sheet1!B946,K940&lt;3), "Misaligned","Aligned")</f>
        <v>Misaligned</v>
      </c>
    </row>
    <row r="941" spans="1:12" x14ac:dyDescent="0.3">
      <c r="A941" t="s">
        <v>11</v>
      </c>
      <c r="B941" t="s">
        <v>18</v>
      </c>
      <c r="C941">
        <v>70000</v>
      </c>
      <c r="D941" t="s">
        <v>19</v>
      </c>
      <c r="E941" t="s">
        <v>33</v>
      </c>
      <c r="F941" t="s">
        <v>40</v>
      </c>
      <c r="G941">
        <v>2018</v>
      </c>
      <c r="H941" s="1">
        <v>43195</v>
      </c>
      <c r="I941" t="s">
        <v>15</v>
      </c>
      <c r="J941" t="s">
        <v>27</v>
      </c>
      <c r="K941">
        <v>3</v>
      </c>
      <c r="L941" t="str">
        <f>IF(AND(C941&gt; Sheet1!B947,K941&lt;3), "Misaligned","Aligned")</f>
        <v>Aligned</v>
      </c>
    </row>
    <row r="942" spans="1:12" x14ac:dyDescent="0.3">
      <c r="A942" t="s">
        <v>42</v>
      </c>
      <c r="B942">
        <v>30</v>
      </c>
      <c r="C942" t="s">
        <v>18</v>
      </c>
      <c r="D942" t="s">
        <v>12</v>
      </c>
      <c r="E942" t="s">
        <v>20</v>
      </c>
      <c r="F942" t="s">
        <v>14</v>
      </c>
      <c r="G942">
        <v>2019</v>
      </c>
      <c r="H942" s="1">
        <v>43549</v>
      </c>
      <c r="I942" t="s">
        <v>34</v>
      </c>
      <c r="J942" t="s">
        <v>16</v>
      </c>
      <c r="K942">
        <v>2</v>
      </c>
      <c r="L942" t="str">
        <f>IF(AND(C942&gt; Sheet1!B948,K942&lt;3), "Misaligned","Aligned")</f>
        <v>Misaligned</v>
      </c>
    </row>
    <row r="943" spans="1:12" x14ac:dyDescent="0.3">
      <c r="A943" t="s">
        <v>28</v>
      </c>
      <c r="B943">
        <v>50</v>
      </c>
      <c r="C943">
        <v>65000</v>
      </c>
      <c r="D943" t="s">
        <v>19</v>
      </c>
      <c r="E943" t="s">
        <v>25</v>
      </c>
      <c r="F943" t="s">
        <v>14</v>
      </c>
      <c r="G943">
        <v>2018</v>
      </c>
      <c r="H943" s="1">
        <v>43195</v>
      </c>
      <c r="I943" t="s">
        <v>15</v>
      </c>
      <c r="J943" t="s">
        <v>27</v>
      </c>
      <c r="K943">
        <v>3</v>
      </c>
      <c r="L943" t="str">
        <f>IF(AND(C943&gt; Sheet1!B949,K943&lt;3), "Misaligned","Aligned")</f>
        <v>Aligned</v>
      </c>
    </row>
    <row r="944" spans="1:12" x14ac:dyDescent="0.3">
      <c r="A944" t="s">
        <v>24</v>
      </c>
      <c r="B944">
        <v>30</v>
      </c>
      <c r="C944">
        <v>65000</v>
      </c>
      <c r="D944" t="s">
        <v>32</v>
      </c>
      <c r="E944" t="s">
        <v>13</v>
      </c>
      <c r="F944" t="s">
        <v>21</v>
      </c>
      <c r="G944">
        <v>2020</v>
      </c>
      <c r="H944" s="1">
        <v>43881</v>
      </c>
      <c r="I944" t="s">
        <v>22</v>
      </c>
      <c r="J944" t="s">
        <v>38</v>
      </c>
      <c r="K944">
        <v>4</v>
      </c>
      <c r="L944" t="str">
        <f>IF(AND(C944&gt; Sheet1!B950,K944&lt;3), "Misaligned","Aligned")</f>
        <v>Aligned</v>
      </c>
    </row>
    <row r="945" spans="1:12" x14ac:dyDescent="0.3">
      <c r="A945" t="s">
        <v>24</v>
      </c>
      <c r="B945">
        <v>25</v>
      </c>
      <c r="C945" t="s">
        <v>18</v>
      </c>
      <c r="D945" t="s">
        <v>12</v>
      </c>
      <c r="E945" t="s">
        <v>33</v>
      </c>
      <c r="F945" t="s">
        <v>36</v>
      </c>
      <c r="G945">
        <v>2019</v>
      </c>
      <c r="H945" s="1">
        <v>43800</v>
      </c>
      <c r="I945" t="s">
        <v>37</v>
      </c>
      <c r="J945" t="s">
        <v>23</v>
      </c>
      <c r="K945">
        <v>1</v>
      </c>
      <c r="L945" t="str">
        <f>IF(AND(C945&gt; Sheet1!B951,K945&lt;3), "Misaligned","Aligned")</f>
        <v>Misaligned</v>
      </c>
    </row>
    <row r="946" spans="1:12" x14ac:dyDescent="0.3">
      <c r="A946" t="s">
        <v>35</v>
      </c>
      <c r="B946">
        <v>40</v>
      </c>
      <c r="C946">
        <v>60000</v>
      </c>
      <c r="D946" t="s">
        <v>32</v>
      </c>
      <c r="E946" t="s">
        <v>20</v>
      </c>
      <c r="F946" t="s">
        <v>39</v>
      </c>
      <c r="G946">
        <v>2019</v>
      </c>
      <c r="H946" s="1">
        <v>43800</v>
      </c>
      <c r="I946" t="s">
        <v>37</v>
      </c>
      <c r="J946" t="s">
        <v>27</v>
      </c>
      <c r="K946">
        <v>3</v>
      </c>
      <c r="L946" t="str">
        <f>IF(AND(C946&gt; Sheet1!B952,K946&lt;3), "Misaligned","Aligned")</f>
        <v>Aligned</v>
      </c>
    </row>
    <row r="947" spans="1:12" x14ac:dyDescent="0.3">
      <c r="A947" t="s">
        <v>11</v>
      </c>
      <c r="B947" t="s">
        <v>18</v>
      </c>
      <c r="C947">
        <v>70000</v>
      </c>
      <c r="D947" t="s">
        <v>32</v>
      </c>
      <c r="E947" t="s">
        <v>25</v>
      </c>
      <c r="F947" t="s">
        <v>39</v>
      </c>
      <c r="G947">
        <v>2019</v>
      </c>
      <c r="H947" s="1">
        <v>43800</v>
      </c>
      <c r="I947" t="s">
        <v>37</v>
      </c>
      <c r="J947" t="s">
        <v>16</v>
      </c>
      <c r="K947">
        <v>2</v>
      </c>
      <c r="L947" t="str">
        <f>IF(AND(C947&gt; Sheet1!B953,K947&lt;3), "Misaligned","Aligned")</f>
        <v>Misaligned</v>
      </c>
    </row>
    <row r="948" spans="1:12" x14ac:dyDescent="0.3">
      <c r="A948" t="s">
        <v>35</v>
      </c>
      <c r="B948">
        <v>30</v>
      </c>
      <c r="C948">
        <v>50000</v>
      </c>
      <c r="D948" t="s">
        <v>12</v>
      </c>
      <c r="E948" t="s">
        <v>33</v>
      </c>
      <c r="F948" t="s">
        <v>36</v>
      </c>
      <c r="G948">
        <v>2019</v>
      </c>
      <c r="H948" s="1">
        <v>43800</v>
      </c>
      <c r="I948" t="s">
        <v>37</v>
      </c>
      <c r="J948" t="s">
        <v>38</v>
      </c>
      <c r="K948">
        <v>4</v>
      </c>
      <c r="L948" t="str">
        <f>IF(AND(C948&gt; Sheet1!B954,K948&lt;3), "Misaligned","Aligned")</f>
        <v>Aligned</v>
      </c>
    </row>
    <row r="949" spans="1:12" x14ac:dyDescent="0.3">
      <c r="A949" t="s">
        <v>41</v>
      </c>
      <c r="B949">
        <v>40</v>
      </c>
      <c r="C949">
        <v>55000</v>
      </c>
      <c r="D949" t="s">
        <v>12</v>
      </c>
      <c r="E949" t="s">
        <v>29</v>
      </c>
      <c r="F949" t="s">
        <v>14</v>
      </c>
      <c r="G949">
        <v>2019</v>
      </c>
      <c r="H949" s="1">
        <v>43800</v>
      </c>
      <c r="I949" t="s">
        <v>37</v>
      </c>
      <c r="J949" t="s">
        <v>30</v>
      </c>
      <c r="K949">
        <v>5</v>
      </c>
      <c r="L949" t="str">
        <f>IF(AND(C949&gt; Sheet1!B955,K949&lt;3), "Misaligned","Aligned")</f>
        <v>Aligned</v>
      </c>
    </row>
    <row r="950" spans="1:12" x14ac:dyDescent="0.3">
      <c r="A950" t="s">
        <v>41</v>
      </c>
      <c r="B950">
        <v>25</v>
      </c>
      <c r="C950">
        <v>65000</v>
      </c>
      <c r="D950" t="s">
        <v>32</v>
      </c>
      <c r="E950" t="s">
        <v>33</v>
      </c>
      <c r="F950" t="s">
        <v>14</v>
      </c>
      <c r="G950">
        <v>2019</v>
      </c>
      <c r="H950" s="1">
        <v>43800</v>
      </c>
      <c r="I950" t="s">
        <v>37</v>
      </c>
      <c r="J950" t="s">
        <v>27</v>
      </c>
      <c r="K950">
        <v>3</v>
      </c>
      <c r="L950" t="str">
        <f>IF(AND(C950&gt; Sheet1!B956,K950&lt;3), "Misaligned","Aligned")</f>
        <v>Aligned</v>
      </c>
    </row>
    <row r="951" spans="1:12" x14ac:dyDescent="0.3">
      <c r="A951" t="s">
        <v>35</v>
      </c>
      <c r="B951">
        <v>35</v>
      </c>
      <c r="C951">
        <v>55000</v>
      </c>
      <c r="D951" t="s">
        <v>32</v>
      </c>
      <c r="E951" t="s">
        <v>13</v>
      </c>
      <c r="F951" t="s">
        <v>40</v>
      </c>
      <c r="G951">
        <v>2020</v>
      </c>
      <c r="H951" s="1">
        <v>43845</v>
      </c>
      <c r="I951" t="s">
        <v>26</v>
      </c>
      <c r="J951" t="s">
        <v>38</v>
      </c>
      <c r="K951">
        <v>4</v>
      </c>
      <c r="L951" t="str">
        <f>IF(AND(C951&gt; Sheet1!B957,K951&lt;3), "Misaligned","Aligned")</f>
        <v>Aligned</v>
      </c>
    </row>
    <row r="952" spans="1:12" x14ac:dyDescent="0.3">
      <c r="A952" t="s">
        <v>11</v>
      </c>
      <c r="B952">
        <v>50</v>
      </c>
      <c r="C952">
        <v>50000</v>
      </c>
      <c r="D952" t="s">
        <v>32</v>
      </c>
      <c r="E952" t="s">
        <v>33</v>
      </c>
      <c r="F952" t="s">
        <v>21</v>
      </c>
      <c r="G952">
        <v>2019</v>
      </c>
      <c r="H952" s="1">
        <v>43549</v>
      </c>
      <c r="I952" t="s">
        <v>34</v>
      </c>
      <c r="J952" t="s">
        <v>30</v>
      </c>
      <c r="K952">
        <v>5</v>
      </c>
      <c r="L952" t="str">
        <f>IF(AND(C952&gt; Sheet1!B958,K952&lt;3), "Misaligned","Aligned")</f>
        <v>Aligned</v>
      </c>
    </row>
    <row r="953" spans="1:12" x14ac:dyDescent="0.3">
      <c r="A953" t="s">
        <v>35</v>
      </c>
      <c r="B953">
        <v>40</v>
      </c>
      <c r="C953">
        <v>55000</v>
      </c>
      <c r="D953" t="s">
        <v>32</v>
      </c>
      <c r="E953" t="s">
        <v>25</v>
      </c>
      <c r="F953" t="s">
        <v>21</v>
      </c>
      <c r="G953">
        <v>2019</v>
      </c>
      <c r="H953" s="1">
        <v>43800</v>
      </c>
      <c r="I953" t="s">
        <v>37</v>
      </c>
      <c r="J953" t="s">
        <v>27</v>
      </c>
      <c r="K953">
        <v>3</v>
      </c>
      <c r="L953" t="str">
        <f>IF(AND(C953&gt; Sheet1!B959,K953&lt;3), "Misaligned","Aligned")</f>
        <v>Aligned</v>
      </c>
    </row>
    <row r="954" spans="1:12" x14ac:dyDescent="0.3">
      <c r="A954" t="s">
        <v>24</v>
      </c>
      <c r="B954">
        <v>40</v>
      </c>
      <c r="C954">
        <v>50000</v>
      </c>
      <c r="D954" t="s">
        <v>12</v>
      </c>
      <c r="E954" t="s">
        <v>25</v>
      </c>
      <c r="F954" t="s">
        <v>21</v>
      </c>
      <c r="G954">
        <v>2019</v>
      </c>
      <c r="H954" s="1">
        <v>43549</v>
      </c>
      <c r="I954" t="s">
        <v>34</v>
      </c>
      <c r="J954" t="s">
        <v>38</v>
      </c>
      <c r="K954">
        <v>4</v>
      </c>
      <c r="L954" t="str">
        <f>IF(AND(C954&gt; Sheet1!B960,K954&lt;3), "Misaligned","Aligned")</f>
        <v>Aligned</v>
      </c>
    </row>
    <row r="955" spans="1:12" x14ac:dyDescent="0.3">
      <c r="A955" t="s">
        <v>31</v>
      </c>
      <c r="B955">
        <v>35</v>
      </c>
      <c r="C955" t="s">
        <v>18</v>
      </c>
      <c r="D955" t="s">
        <v>12</v>
      </c>
      <c r="E955" t="s">
        <v>33</v>
      </c>
      <c r="F955" t="s">
        <v>40</v>
      </c>
      <c r="G955">
        <v>2019</v>
      </c>
      <c r="H955" s="1">
        <v>43800</v>
      </c>
      <c r="I955" t="s">
        <v>37</v>
      </c>
      <c r="J955" t="s">
        <v>38</v>
      </c>
      <c r="K955">
        <v>4</v>
      </c>
      <c r="L955" t="str">
        <f>IF(AND(C955&gt; Sheet1!B961,K955&lt;3), "Misaligned","Aligned")</f>
        <v>Aligned</v>
      </c>
    </row>
    <row r="956" spans="1:12" x14ac:dyDescent="0.3">
      <c r="A956" t="s">
        <v>17</v>
      </c>
      <c r="B956">
        <v>40</v>
      </c>
      <c r="C956">
        <v>60000</v>
      </c>
      <c r="D956" t="s">
        <v>32</v>
      </c>
      <c r="E956" t="s">
        <v>25</v>
      </c>
      <c r="F956" t="s">
        <v>21</v>
      </c>
      <c r="G956">
        <v>2018</v>
      </c>
      <c r="H956" s="1">
        <v>43195</v>
      </c>
      <c r="I956" t="s">
        <v>15</v>
      </c>
      <c r="J956" t="s">
        <v>27</v>
      </c>
      <c r="K956">
        <v>3</v>
      </c>
      <c r="L956" t="str">
        <f>IF(AND(C956&gt; Sheet1!B962,K956&lt;3), "Misaligned","Aligned")</f>
        <v>Aligned</v>
      </c>
    </row>
    <row r="957" spans="1:12" x14ac:dyDescent="0.3">
      <c r="A957" t="s">
        <v>43</v>
      </c>
      <c r="B957">
        <v>25</v>
      </c>
      <c r="C957">
        <v>65000</v>
      </c>
      <c r="D957" t="s">
        <v>19</v>
      </c>
      <c r="E957" t="s">
        <v>29</v>
      </c>
      <c r="F957" t="s">
        <v>36</v>
      </c>
      <c r="G957">
        <v>2019</v>
      </c>
      <c r="H957" s="1">
        <v>43800</v>
      </c>
      <c r="I957" t="s">
        <v>37</v>
      </c>
      <c r="J957" t="s">
        <v>38</v>
      </c>
      <c r="K957">
        <v>4</v>
      </c>
      <c r="L957" t="str">
        <f>IF(AND(C957&gt; Sheet1!B963,K957&lt;3), "Misaligned","Aligned")</f>
        <v>Aligned</v>
      </c>
    </row>
    <row r="958" spans="1:12" x14ac:dyDescent="0.3">
      <c r="A958" t="s">
        <v>17</v>
      </c>
      <c r="B958">
        <v>25</v>
      </c>
      <c r="C958">
        <v>50000</v>
      </c>
      <c r="D958" t="s">
        <v>19</v>
      </c>
      <c r="E958" t="s">
        <v>33</v>
      </c>
      <c r="F958" t="s">
        <v>40</v>
      </c>
      <c r="G958">
        <v>2020</v>
      </c>
      <c r="H958" s="1">
        <v>43881</v>
      </c>
      <c r="I958" t="s">
        <v>22</v>
      </c>
      <c r="J958" t="s">
        <v>23</v>
      </c>
      <c r="K958">
        <v>1</v>
      </c>
      <c r="L958" t="str">
        <f>IF(AND(C958&gt; Sheet1!B964,K958&lt;3), "Misaligned","Aligned")</f>
        <v>Misaligned</v>
      </c>
    </row>
    <row r="959" spans="1:12" x14ac:dyDescent="0.3">
      <c r="A959" t="s">
        <v>11</v>
      </c>
      <c r="B959">
        <v>35</v>
      </c>
      <c r="C959">
        <v>55000</v>
      </c>
      <c r="D959" t="s">
        <v>12</v>
      </c>
      <c r="E959" t="s">
        <v>29</v>
      </c>
      <c r="F959" t="s">
        <v>36</v>
      </c>
      <c r="G959">
        <v>2020</v>
      </c>
      <c r="H959" s="1">
        <v>43845</v>
      </c>
      <c r="I959" t="s">
        <v>26</v>
      </c>
      <c r="J959" t="s">
        <v>27</v>
      </c>
      <c r="K959">
        <v>3</v>
      </c>
      <c r="L959" t="str">
        <f>IF(AND(C959&gt; Sheet1!B965,K959&lt;3), "Misaligned","Aligned")</f>
        <v>Aligned</v>
      </c>
    </row>
    <row r="960" spans="1:12" x14ac:dyDescent="0.3">
      <c r="A960" t="s">
        <v>17</v>
      </c>
      <c r="B960">
        <v>50</v>
      </c>
      <c r="C960">
        <v>65000</v>
      </c>
      <c r="D960" t="s">
        <v>32</v>
      </c>
      <c r="E960" t="s">
        <v>29</v>
      </c>
      <c r="F960" t="s">
        <v>40</v>
      </c>
      <c r="G960">
        <v>2018</v>
      </c>
      <c r="H960" s="1">
        <v>43195</v>
      </c>
      <c r="I960" t="s">
        <v>15</v>
      </c>
      <c r="J960" t="s">
        <v>38</v>
      </c>
      <c r="K960">
        <v>4</v>
      </c>
      <c r="L960" t="str">
        <f>IF(AND(C960&gt; Sheet1!B966,K960&lt;3), "Misaligned","Aligned")</f>
        <v>Aligned</v>
      </c>
    </row>
    <row r="961" spans="1:12" x14ac:dyDescent="0.3">
      <c r="A961" t="s">
        <v>41</v>
      </c>
      <c r="B961" t="s">
        <v>18</v>
      </c>
      <c r="C961">
        <v>60000</v>
      </c>
      <c r="D961" t="s">
        <v>32</v>
      </c>
      <c r="E961" t="s">
        <v>20</v>
      </c>
      <c r="F961" t="s">
        <v>21</v>
      </c>
      <c r="G961">
        <v>2018</v>
      </c>
      <c r="H961" s="1">
        <v>43195</v>
      </c>
      <c r="I961" t="s">
        <v>15</v>
      </c>
      <c r="J961" t="s">
        <v>30</v>
      </c>
      <c r="K961">
        <v>5</v>
      </c>
      <c r="L961" t="str">
        <f>IF(AND(C961&gt; Sheet1!B967,K961&lt;3), "Misaligned","Aligned")</f>
        <v>Aligned</v>
      </c>
    </row>
    <row r="962" spans="1:12" x14ac:dyDescent="0.3">
      <c r="A962" t="s">
        <v>44</v>
      </c>
      <c r="B962">
        <v>30</v>
      </c>
      <c r="C962" t="s">
        <v>18</v>
      </c>
      <c r="D962" t="s">
        <v>12</v>
      </c>
      <c r="E962" t="s">
        <v>33</v>
      </c>
      <c r="F962" t="s">
        <v>36</v>
      </c>
      <c r="G962">
        <v>2020</v>
      </c>
      <c r="H962" s="1">
        <v>43881</v>
      </c>
      <c r="I962" t="s">
        <v>22</v>
      </c>
      <c r="J962" t="s">
        <v>30</v>
      </c>
      <c r="K962">
        <v>5</v>
      </c>
      <c r="L962" t="str">
        <f>IF(AND(C962&gt; Sheet1!B968,K962&lt;3), "Misaligned","Aligned")</f>
        <v>Aligned</v>
      </c>
    </row>
    <row r="963" spans="1:12" x14ac:dyDescent="0.3">
      <c r="A963" t="s">
        <v>43</v>
      </c>
      <c r="B963" t="s">
        <v>18</v>
      </c>
      <c r="C963">
        <v>65000</v>
      </c>
      <c r="D963" t="s">
        <v>19</v>
      </c>
      <c r="E963" t="s">
        <v>25</v>
      </c>
      <c r="F963" t="s">
        <v>36</v>
      </c>
      <c r="G963">
        <v>2019</v>
      </c>
      <c r="H963" s="1">
        <v>43800</v>
      </c>
      <c r="I963" t="s">
        <v>37</v>
      </c>
      <c r="J963" t="s">
        <v>23</v>
      </c>
      <c r="K963">
        <v>1</v>
      </c>
      <c r="L963" t="str">
        <f>IF(AND(C963&gt; Sheet1!B969,K963&lt;3), "Misaligned","Aligned")</f>
        <v>Misaligned</v>
      </c>
    </row>
    <row r="964" spans="1:12" x14ac:dyDescent="0.3">
      <c r="A964" t="s">
        <v>28</v>
      </c>
      <c r="B964">
        <v>40</v>
      </c>
      <c r="C964">
        <v>50000</v>
      </c>
      <c r="D964" t="s">
        <v>19</v>
      </c>
      <c r="E964" t="s">
        <v>29</v>
      </c>
      <c r="F964" t="s">
        <v>36</v>
      </c>
      <c r="G964">
        <v>2020</v>
      </c>
      <c r="H964" s="1">
        <v>43845</v>
      </c>
      <c r="I964" t="s">
        <v>26</v>
      </c>
      <c r="J964" t="s">
        <v>27</v>
      </c>
      <c r="K964">
        <v>3</v>
      </c>
      <c r="L964" t="str">
        <f>IF(AND(C964&gt; Sheet1!B970,K964&lt;3), "Misaligned","Aligned")</f>
        <v>Aligned</v>
      </c>
    </row>
    <row r="965" spans="1:12" x14ac:dyDescent="0.3">
      <c r="A965" t="s">
        <v>11</v>
      </c>
      <c r="B965">
        <v>30</v>
      </c>
      <c r="C965">
        <v>60000</v>
      </c>
      <c r="D965" t="s">
        <v>19</v>
      </c>
      <c r="E965" t="s">
        <v>20</v>
      </c>
      <c r="F965" t="s">
        <v>40</v>
      </c>
      <c r="G965">
        <v>2018</v>
      </c>
      <c r="H965" s="1">
        <v>43195</v>
      </c>
      <c r="I965" t="s">
        <v>15</v>
      </c>
      <c r="J965" t="s">
        <v>38</v>
      </c>
      <c r="K965">
        <v>4</v>
      </c>
      <c r="L965" t="str">
        <f>IF(AND(C965&gt; Sheet1!B971,K965&lt;3), "Misaligned","Aligned")</f>
        <v>Aligned</v>
      </c>
    </row>
    <row r="966" spans="1:12" x14ac:dyDescent="0.3">
      <c r="A966" t="s">
        <v>43</v>
      </c>
      <c r="B966">
        <v>35</v>
      </c>
      <c r="C966">
        <v>55000</v>
      </c>
      <c r="D966" t="s">
        <v>12</v>
      </c>
      <c r="E966" t="s">
        <v>33</v>
      </c>
      <c r="F966" t="s">
        <v>39</v>
      </c>
      <c r="G966">
        <v>2020</v>
      </c>
      <c r="H966" s="1">
        <v>43845</v>
      </c>
      <c r="I966" t="s">
        <v>26</v>
      </c>
      <c r="J966" t="s">
        <v>38</v>
      </c>
      <c r="K966">
        <v>4</v>
      </c>
      <c r="L966" t="str">
        <f>IF(AND(C966&gt; Sheet1!B972,K966&lt;3), "Misaligned","Aligned")</f>
        <v>Aligned</v>
      </c>
    </row>
    <row r="967" spans="1:12" x14ac:dyDescent="0.3">
      <c r="A967" t="s">
        <v>17</v>
      </c>
      <c r="B967">
        <v>35</v>
      </c>
      <c r="C967">
        <v>60000</v>
      </c>
      <c r="D967" t="s">
        <v>19</v>
      </c>
      <c r="E967" t="s">
        <v>33</v>
      </c>
      <c r="F967" t="s">
        <v>21</v>
      </c>
      <c r="G967">
        <v>2018</v>
      </c>
      <c r="H967" s="1">
        <v>43195</v>
      </c>
      <c r="I967" t="s">
        <v>15</v>
      </c>
      <c r="J967" t="s">
        <v>30</v>
      </c>
      <c r="K967">
        <v>5</v>
      </c>
      <c r="L967" t="str">
        <f>IF(AND(C967&gt; Sheet1!B973,K967&lt;3), "Misaligned","Aligned")</f>
        <v>Aligned</v>
      </c>
    </row>
    <row r="968" spans="1:12" x14ac:dyDescent="0.3">
      <c r="A968" t="s">
        <v>41</v>
      </c>
      <c r="B968">
        <v>50</v>
      </c>
      <c r="C968">
        <v>60000</v>
      </c>
      <c r="D968" t="s">
        <v>12</v>
      </c>
      <c r="E968" t="s">
        <v>13</v>
      </c>
      <c r="F968" t="s">
        <v>36</v>
      </c>
      <c r="G968">
        <v>2019</v>
      </c>
      <c r="H968" s="1">
        <v>43800</v>
      </c>
      <c r="I968" t="s">
        <v>37</v>
      </c>
      <c r="J968" t="s">
        <v>23</v>
      </c>
      <c r="K968">
        <v>1</v>
      </c>
      <c r="L968" t="str">
        <f>IF(AND(C968&gt; Sheet1!B974,K968&lt;3), "Misaligned","Aligned")</f>
        <v>Misaligned</v>
      </c>
    </row>
    <row r="969" spans="1:12" x14ac:dyDescent="0.3">
      <c r="A969" t="s">
        <v>42</v>
      </c>
      <c r="B969">
        <v>30</v>
      </c>
      <c r="C969">
        <v>70000</v>
      </c>
      <c r="D969" t="s">
        <v>12</v>
      </c>
      <c r="E969" t="s">
        <v>13</v>
      </c>
      <c r="F969" t="s">
        <v>39</v>
      </c>
      <c r="G969">
        <v>2018</v>
      </c>
      <c r="H969" s="1">
        <v>43195</v>
      </c>
      <c r="I969" t="s">
        <v>15</v>
      </c>
      <c r="J969" t="s">
        <v>30</v>
      </c>
      <c r="K969">
        <v>5</v>
      </c>
      <c r="L969" t="str">
        <f>IF(AND(C969&gt; Sheet1!B975,K969&lt;3), "Misaligned","Aligned")</f>
        <v>Aligned</v>
      </c>
    </row>
    <row r="970" spans="1:12" x14ac:dyDescent="0.3">
      <c r="A970" t="s">
        <v>31</v>
      </c>
      <c r="B970">
        <v>25</v>
      </c>
      <c r="C970">
        <v>60000</v>
      </c>
      <c r="D970" t="s">
        <v>32</v>
      </c>
      <c r="E970" t="s">
        <v>29</v>
      </c>
      <c r="F970" t="s">
        <v>21</v>
      </c>
      <c r="G970">
        <v>2018</v>
      </c>
      <c r="H970" s="1">
        <v>43195</v>
      </c>
      <c r="I970" t="s">
        <v>15</v>
      </c>
      <c r="J970" t="s">
        <v>30</v>
      </c>
      <c r="K970">
        <v>5</v>
      </c>
      <c r="L970" t="str">
        <f>IF(AND(C970&gt; Sheet1!B976,K970&lt;3), "Misaligned","Aligned")</f>
        <v>Aligned</v>
      </c>
    </row>
    <row r="971" spans="1:12" x14ac:dyDescent="0.3">
      <c r="A971" t="s">
        <v>28</v>
      </c>
      <c r="B971">
        <v>30</v>
      </c>
      <c r="C971">
        <v>60000</v>
      </c>
      <c r="D971" t="s">
        <v>19</v>
      </c>
      <c r="E971" t="s">
        <v>13</v>
      </c>
      <c r="F971" t="s">
        <v>21</v>
      </c>
      <c r="G971">
        <v>2019</v>
      </c>
      <c r="H971" s="1">
        <v>43549</v>
      </c>
      <c r="I971" t="s">
        <v>34</v>
      </c>
      <c r="J971" t="s">
        <v>23</v>
      </c>
      <c r="K971">
        <v>1</v>
      </c>
      <c r="L971" t="str">
        <f>IF(AND(C971&gt; Sheet1!B977,K971&lt;3), "Misaligned","Aligned")</f>
        <v>Misaligned</v>
      </c>
    </row>
    <row r="972" spans="1:12" x14ac:dyDescent="0.3">
      <c r="A972" t="s">
        <v>31</v>
      </c>
      <c r="B972">
        <v>40</v>
      </c>
      <c r="C972">
        <v>65000</v>
      </c>
      <c r="D972" t="s">
        <v>12</v>
      </c>
      <c r="E972" t="s">
        <v>29</v>
      </c>
      <c r="F972" t="s">
        <v>36</v>
      </c>
      <c r="G972">
        <v>2019</v>
      </c>
      <c r="H972" s="1">
        <v>43800</v>
      </c>
      <c r="I972" t="s">
        <v>37</v>
      </c>
      <c r="J972" t="s">
        <v>27</v>
      </c>
      <c r="K972">
        <v>3</v>
      </c>
      <c r="L972" t="str">
        <f>IF(AND(C972&gt; Sheet1!B978,K972&lt;3), "Misaligned","Aligned")</f>
        <v>Aligned</v>
      </c>
    </row>
    <row r="973" spans="1:12" x14ac:dyDescent="0.3">
      <c r="A973" t="s">
        <v>43</v>
      </c>
      <c r="B973">
        <v>25</v>
      </c>
      <c r="C973">
        <v>55000</v>
      </c>
      <c r="D973" t="s">
        <v>19</v>
      </c>
      <c r="E973" t="s">
        <v>25</v>
      </c>
      <c r="F973" t="s">
        <v>36</v>
      </c>
      <c r="G973">
        <v>2020</v>
      </c>
      <c r="H973" s="1">
        <v>43881</v>
      </c>
      <c r="I973" t="s">
        <v>22</v>
      </c>
      <c r="J973" t="s">
        <v>38</v>
      </c>
      <c r="K973">
        <v>4</v>
      </c>
      <c r="L973" t="str">
        <f>IF(AND(C973&gt; Sheet1!B979,K973&lt;3), "Misaligned","Aligned")</f>
        <v>Aligned</v>
      </c>
    </row>
    <row r="974" spans="1:12" x14ac:dyDescent="0.3">
      <c r="A974" t="s">
        <v>41</v>
      </c>
      <c r="B974">
        <v>35</v>
      </c>
      <c r="C974">
        <v>65000</v>
      </c>
      <c r="D974" t="s">
        <v>19</v>
      </c>
      <c r="E974" t="s">
        <v>29</v>
      </c>
      <c r="F974" t="s">
        <v>40</v>
      </c>
      <c r="G974">
        <v>2020</v>
      </c>
      <c r="H974" s="1">
        <v>43881</v>
      </c>
      <c r="I974" t="s">
        <v>22</v>
      </c>
      <c r="J974" t="s">
        <v>27</v>
      </c>
      <c r="K974">
        <v>3</v>
      </c>
      <c r="L974" t="str">
        <f>IF(AND(C974&gt; Sheet1!B980,K974&lt;3), "Misaligned","Aligned")</f>
        <v>Aligned</v>
      </c>
    </row>
    <row r="975" spans="1:12" x14ac:dyDescent="0.3">
      <c r="A975" t="s">
        <v>41</v>
      </c>
      <c r="B975">
        <v>30</v>
      </c>
      <c r="C975">
        <v>65000</v>
      </c>
      <c r="D975" t="s">
        <v>32</v>
      </c>
      <c r="E975" t="s">
        <v>13</v>
      </c>
      <c r="F975" t="s">
        <v>39</v>
      </c>
      <c r="G975">
        <v>2019</v>
      </c>
      <c r="H975" s="1">
        <v>43800</v>
      </c>
      <c r="I975" t="s">
        <v>37</v>
      </c>
      <c r="J975" t="s">
        <v>16</v>
      </c>
      <c r="K975">
        <v>2</v>
      </c>
      <c r="L975" t="str">
        <f>IF(AND(C975&gt; Sheet1!B981,K975&lt;3), "Misaligned","Aligned")</f>
        <v>Misaligned</v>
      </c>
    </row>
    <row r="976" spans="1:12" x14ac:dyDescent="0.3">
      <c r="A976" t="s">
        <v>17</v>
      </c>
      <c r="B976" t="s">
        <v>18</v>
      </c>
      <c r="C976">
        <v>50000</v>
      </c>
      <c r="D976" t="s">
        <v>19</v>
      </c>
      <c r="E976" t="s">
        <v>25</v>
      </c>
      <c r="F976" t="s">
        <v>39</v>
      </c>
      <c r="G976">
        <v>2020</v>
      </c>
      <c r="H976" s="1">
        <v>43881</v>
      </c>
      <c r="I976" t="s">
        <v>22</v>
      </c>
      <c r="J976" t="s">
        <v>16</v>
      </c>
      <c r="K976">
        <v>2</v>
      </c>
      <c r="L976" t="str">
        <f>IF(AND(C976&gt; Sheet1!B982,K976&lt;3), "Misaligned","Aligned")</f>
        <v>Misaligned</v>
      </c>
    </row>
    <row r="977" spans="1:12" x14ac:dyDescent="0.3">
      <c r="A977" t="s">
        <v>24</v>
      </c>
      <c r="B977">
        <v>50</v>
      </c>
      <c r="C977">
        <v>65000</v>
      </c>
      <c r="D977" t="s">
        <v>32</v>
      </c>
      <c r="E977" t="s">
        <v>13</v>
      </c>
      <c r="F977" t="s">
        <v>36</v>
      </c>
      <c r="G977">
        <v>2019</v>
      </c>
      <c r="H977" s="1">
        <v>43800</v>
      </c>
      <c r="I977" t="s">
        <v>37</v>
      </c>
      <c r="J977" t="s">
        <v>16</v>
      </c>
      <c r="K977">
        <v>2</v>
      </c>
      <c r="L977" t="str">
        <f>IF(AND(C977&gt; Sheet1!B983,K977&lt;3), "Misaligned","Aligned")</f>
        <v>Misaligned</v>
      </c>
    </row>
    <row r="978" spans="1:12" x14ac:dyDescent="0.3">
      <c r="A978" t="s">
        <v>17</v>
      </c>
      <c r="B978" t="s">
        <v>18</v>
      </c>
      <c r="C978">
        <v>70000</v>
      </c>
      <c r="D978" t="s">
        <v>12</v>
      </c>
      <c r="E978" t="s">
        <v>29</v>
      </c>
      <c r="F978" t="s">
        <v>21</v>
      </c>
      <c r="G978">
        <v>2020</v>
      </c>
      <c r="H978" s="1">
        <v>43881</v>
      </c>
      <c r="I978" t="s">
        <v>22</v>
      </c>
      <c r="J978" t="s">
        <v>23</v>
      </c>
      <c r="K978">
        <v>1</v>
      </c>
      <c r="L978" t="str">
        <f>IF(AND(C978&gt; Sheet1!B984,K978&lt;3), "Misaligned","Aligned")</f>
        <v>Misaligned</v>
      </c>
    </row>
    <row r="979" spans="1:12" x14ac:dyDescent="0.3">
      <c r="A979" t="s">
        <v>24</v>
      </c>
      <c r="B979">
        <v>50</v>
      </c>
      <c r="C979">
        <v>70000</v>
      </c>
      <c r="D979" t="s">
        <v>19</v>
      </c>
      <c r="E979" t="s">
        <v>20</v>
      </c>
      <c r="F979" t="s">
        <v>36</v>
      </c>
      <c r="G979">
        <v>2019</v>
      </c>
      <c r="H979" s="1">
        <v>43549</v>
      </c>
      <c r="I979" t="s">
        <v>34</v>
      </c>
      <c r="J979" t="s">
        <v>30</v>
      </c>
      <c r="K979">
        <v>5</v>
      </c>
      <c r="L979" t="str">
        <f>IF(AND(C979&gt; Sheet1!B985,K979&lt;3), "Misaligned","Aligned")</f>
        <v>Aligned</v>
      </c>
    </row>
    <row r="980" spans="1:12" x14ac:dyDescent="0.3">
      <c r="A980" t="s">
        <v>24</v>
      </c>
      <c r="B980">
        <v>40</v>
      </c>
      <c r="C980">
        <v>50000</v>
      </c>
      <c r="D980" t="s">
        <v>12</v>
      </c>
      <c r="E980" t="s">
        <v>33</v>
      </c>
      <c r="F980" t="s">
        <v>21</v>
      </c>
      <c r="G980">
        <v>2020</v>
      </c>
      <c r="H980" s="1">
        <v>43881</v>
      </c>
      <c r="I980" t="s">
        <v>22</v>
      </c>
      <c r="J980" t="s">
        <v>27</v>
      </c>
      <c r="K980">
        <v>3</v>
      </c>
      <c r="L980" t="str">
        <f>IF(AND(C980&gt; Sheet1!B986,K980&lt;3), "Misaligned","Aligned")</f>
        <v>Aligned</v>
      </c>
    </row>
    <row r="981" spans="1:12" x14ac:dyDescent="0.3">
      <c r="A981" t="s">
        <v>28</v>
      </c>
      <c r="B981" t="s">
        <v>18</v>
      </c>
      <c r="C981" t="s">
        <v>18</v>
      </c>
      <c r="D981" t="s">
        <v>19</v>
      </c>
      <c r="E981" t="s">
        <v>13</v>
      </c>
      <c r="F981" t="s">
        <v>21</v>
      </c>
      <c r="G981">
        <v>2018</v>
      </c>
      <c r="H981" s="1">
        <v>43195</v>
      </c>
      <c r="I981" t="s">
        <v>15</v>
      </c>
      <c r="J981" t="s">
        <v>38</v>
      </c>
      <c r="K981">
        <v>4</v>
      </c>
      <c r="L981" t="str">
        <f>IF(AND(C981&gt; Sheet1!B987,K981&lt;3), "Misaligned","Aligned")</f>
        <v>Aligned</v>
      </c>
    </row>
    <row r="982" spans="1:12" x14ac:dyDescent="0.3">
      <c r="A982" t="s">
        <v>17</v>
      </c>
      <c r="B982">
        <v>30</v>
      </c>
      <c r="C982">
        <v>55000</v>
      </c>
      <c r="D982" t="s">
        <v>12</v>
      </c>
      <c r="E982" t="s">
        <v>29</v>
      </c>
      <c r="F982" t="s">
        <v>36</v>
      </c>
      <c r="G982">
        <v>2019</v>
      </c>
      <c r="H982" s="1">
        <v>43800</v>
      </c>
      <c r="I982" t="s">
        <v>37</v>
      </c>
      <c r="J982" t="s">
        <v>16</v>
      </c>
      <c r="K982">
        <v>2</v>
      </c>
      <c r="L982" t="str">
        <f>IF(AND(C982&gt; Sheet1!B988,K982&lt;3), "Misaligned","Aligned")</f>
        <v>Misaligned</v>
      </c>
    </row>
    <row r="983" spans="1:12" x14ac:dyDescent="0.3">
      <c r="A983" t="s">
        <v>42</v>
      </c>
      <c r="B983">
        <v>30</v>
      </c>
      <c r="C983">
        <v>55000</v>
      </c>
      <c r="D983" t="s">
        <v>19</v>
      </c>
      <c r="E983" t="s">
        <v>25</v>
      </c>
      <c r="F983" t="s">
        <v>14</v>
      </c>
      <c r="G983">
        <v>2020</v>
      </c>
      <c r="H983" s="1">
        <v>43845</v>
      </c>
      <c r="I983" t="s">
        <v>26</v>
      </c>
      <c r="J983" t="s">
        <v>27</v>
      </c>
      <c r="K983">
        <v>3</v>
      </c>
      <c r="L983" t="str">
        <f>IF(AND(C983&gt; Sheet1!B989,K983&lt;3), "Misaligned","Aligned")</f>
        <v>Aligned</v>
      </c>
    </row>
    <row r="984" spans="1:12" x14ac:dyDescent="0.3">
      <c r="A984" t="s">
        <v>35</v>
      </c>
      <c r="B984" t="s">
        <v>18</v>
      </c>
      <c r="C984">
        <v>65000</v>
      </c>
      <c r="D984" t="s">
        <v>19</v>
      </c>
      <c r="E984" t="s">
        <v>13</v>
      </c>
      <c r="F984" t="s">
        <v>39</v>
      </c>
      <c r="G984">
        <v>2020</v>
      </c>
      <c r="H984" s="1">
        <v>43845</v>
      </c>
      <c r="I984" t="s">
        <v>26</v>
      </c>
      <c r="J984" t="s">
        <v>16</v>
      </c>
      <c r="K984">
        <v>2</v>
      </c>
      <c r="L984" t="str">
        <f>IF(AND(C984&gt; Sheet1!B990,K984&lt;3), "Misaligned","Aligned")</f>
        <v>Misaligned</v>
      </c>
    </row>
    <row r="985" spans="1:12" x14ac:dyDescent="0.3">
      <c r="A985" t="s">
        <v>35</v>
      </c>
      <c r="B985">
        <v>30</v>
      </c>
      <c r="C985">
        <v>65000</v>
      </c>
      <c r="D985" t="s">
        <v>19</v>
      </c>
      <c r="E985" t="s">
        <v>13</v>
      </c>
      <c r="F985" t="s">
        <v>21</v>
      </c>
      <c r="G985">
        <v>2019</v>
      </c>
      <c r="H985" s="1">
        <v>43800</v>
      </c>
      <c r="I985" t="s">
        <v>37</v>
      </c>
      <c r="J985" t="s">
        <v>16</v>
      </c>
      <c r="K985">
        <v>2</v>
      </c>
      <c r="L985" t="str">
        <f>IF(AND(C985&gt; Sheet1!B991,K985&lt;3), "Misaligned","Aligned")</f>
        <v>Misaligned</v>
      </c>
    </row>
    <row r="986" spans="1:12" x14ac:dyDescent="0.3">
      <c r="A986" t="s">
        <v>17</v>
      </c>
      <c r="B986">
        <v>40</v>
      </c>
      <c r="C986" t="s">
        <v>18</v>
      </c>
      <c r="D986" t="s">
        <v>19</v>
      </c>
      <c r="E986" t="s">
        <v>33</v>
      </c>
      <c r="F986" t="s">
        <v>21</v>
      </c>
      <c r="G986">
        <v>2019</v>
      </c>
      <c r="H986" s="1">
        <v>43549</v>
      </c>
      <c r="I986" t="s">
        <v>34</v>
      </c>
      <c r="J986" t="s">
        <v>38</v>
      </c>
      <c r="K986">
        <v>4</v>
      </c>
      <c r="L986" t="str">
        <f>IF(AND(C986&gt; Sheet1!B992,K986&lt;3), "Misaligned","Aligned")</f>
        <v>Aligned</v>
      </c>
    </row>
    <row r="987" spans="1:12" x14ac:dyDescent="0.3">
      <c r="A987" t="s">
        <v>17</v>
      </c>
      <c r="B987">
        <v>25</v>
      </c>
      <c r="C987">
        <v>65000</v>
      </c>
      <c r="D987" t="s">
        <v>19</v>
      </c>
      <c r="E987" t="s">
        <v>29</v>
      </c>
      <c r="F987" t="s">
        <v>14</v>
      </c>
      <c r="G987">
        <v>2020</v>
      </c>
      <c r="H987" s="1">
        <v>43881</v>
      </c>
      <c r="I987" t="s">
        <v>22</v>
      </c>
      <c r="J987" t="s">
        <v>23</v>
      </c>
      <c r="K987">
        <v>1</v>
      </c>
      <c r="L987" t="str">
        <f>IF(AND(C987&gt; Sheet1!B993,K987&lt;3), "Misaligned","Aligned")</f>
        <v>Misaligned</v>
      </c>
    </row>
    <row r="988" spans="1:12" x14ac:dyDescent="0.3">
      <c r="A988" t="s">
        <v>31</v>
      </c>
      <c r="B988">
        <v>40</v>
      </c>
      <c r="C988">
        <v>55000</v>
      </c>
      <c r="D988" t="s">
        <v>19</v>
      </c>
      <c r="E988" t="s">
        <v>20</v>
      </c>
      <c r="F988" t="s">
        <v>40</v>
      </c>
      <c r="G988">
        <v>2019</v>
      </c>
      <c r="H988" s="1">
        <v>43549</v>
      </c>
      <c r="I988" t="s">
        <v>34</v>
      </c>
      <c r="J988" t="s">
        <v>30</v>
      </c>
      <c r="K988">
        <v>5</v>
      </c>
      <c r="L988" t="str">
        <f>IF(AND(C988&gt; Sheet1!B994,K988&lt;3), "Misaligned","Aligned")</f>
        <v>Aligned</v>
      </c>
    </row>
    <row r="989" spans="1:12" x14ac:dyDescent="0.3">
      <c r="A989" t="s">
        <v>28</v>
      </c>
      <c r="B989">
        <v>50</v>
      </c>
      <c r="C989">
        <v>60000</v>
      </c>
      <c r="D989" t="s">
        <v>19</v>
      </c>
      <c r="E989" t="s">
        <v>25</v>
      </c>
      <c r="F989" t="s">
        <v>14</v>
      </c>
      <c r="G989">
        <v>2020</v>
      </c>
      <c r="H989" s="1">
        <v>43845</v>
      </c>
      <c r="I989" t="s">
        <v>26</v>
      </c>
      <c r="J989" t="s">
        <v>23</v>
      </c>
      <c r="K989">
        <v>1</v>
      </c>
      <c r="L989" t="str">
        <f>IF(AND(C989&gt; Sheet1!B995,K989&lt;3), "Misaligned","Aligned")</f>
        <v>Misaligned</v>
      </c>
    </row>
    <row r="990" spans="1:12" x14ac:dyDescent="0.3">
      <c r="A990" t="s">
        <v>17</v>
      </c>
      <c r="B990">
        <v>40</v>
      </c>
      <c r="C990">
        <v>70000</v>
      </c>
      <c r="D990" t="s">
        <v>19</v>
      </c>
      <c r="E990" t="s">
        <v>29</v>
      </c>
      <c r="F990" t="s">
        <v>14</v>
      </c>
      <c r="G990">
        <v>2019</v>
      </c>
      <c r="H990" s="1">
        <v>43800</v>
      </c>
      <c r="I990" t="s">
        <v>37</v>
      </c>
      <c r="J990" t="s">
        <v>27</v>
      </c>
      <c r="K990">
        <v>3</v>
      </c>
      <c r="L990" t="str">
        <f>IF(AND(C990&gt; Sheet1!B996,K990&lt;3), "Misaligned","Aligned")</f>
        <v>Aligned</v>
      </c>
    </row>
    <row r="991" spans="1:12" x14ac:dyDescent="0.3">
      <c r="A991" t="s">
        <v>31</v>
      </c>
      <c r="B991">
        <v>50</v>
      </c>
      <c r="C991">
        <v>60000</v>
      </c>
      <c r="D991" t="s">
        <v>19</v>
      </c>
      <c r="E991" t="s">
        <v>25</v>
      </c>
      <c r="F991" t="s">
        <v>21</v>
      </c>
      <c r="G991">
        <v>2019</v>
      </c>
      <c r="H991" s="1">
        <v>43800</v>
      </c>
      <c r="I991" t="s">
        <v>37</v>
      </c>
      <c r="J991" t="s">
        <v>23</v>
      </c>
      <c r="K991">
        <v>1</v>
      </c>
      <c r="L991" t="str">
        <f>IF(AND(C991&gt; Sheet1!B997,K991&lt;3), "Misaligned","Aligned")</f>
        <v>Misaligned</v>
      </c>
    </row>
    <row r="992" spans="1:12" x14ac:dyDescent="0.3">
      <c r="A992" t="s">
        <v>24</v>
      </c>
      <c r="B992">
        <v>30</v>
      </c>
      <c r="C992">
        <v>60000</v>
      </c>
      <c r="D992" t="s">
        <v>12</v>
      </c>
      <c r="E992" t="s">
        <v>13</v>
      </c>
      <c r="F992" t="s">
        <v>39</v>
      </c>
      <c r="G992">
        <v>2019</v>
      </c>
      <c r="H992" s="1">
        <v>43549</v>
      </c>
      <c r="I992" t="s">
        <v>34</v>
      </c>
      <c r="J992" t="s">
        <v>27</v>
      </c>
      <c r="K992">
        <v>3</v>
      </c>
      <c r="L992" t="str">
        <f>IF(AND(C992&gt; Sheet1!B998,K992&lt;3), "Misaligned","Aligned")</f>
        <v>Aligned</v>
      </c>
    </row>
    <row r="993" spans="1:12" x14ac:dyDescent="0.3">
      <c r="A993" t="s">
        <v>41</v>
      </c>
      <c r="B993">
        <v>25</v>
      </c>
      <c r="C993">
        <v>55000</v>
      </c>
      <c r="D993" t="s">
        <v>32</v>
      </c>
      <c r="E993" t="s">
        <v>33</v>
      </c>
      <c r="F993" t="s">
        <v>14</v>
      </c>
      <c r="G993">
        <v>2019</v>
      </c>
      <c r="H993" s="1">
        <v>43549</v>
      </c>
      <c r="I993" t="s">
        <v>34</v>
      </c>
      <c r="J993" t="s">
        <v>27</v>
      </c>
      <c r="K993">
        <v>3</v>
      </c>
      <c r="L993" t="str">
        <f>IF(AND(C993&gt; Sheet1!B999,K993&lt;3), "Misaligned","Aligned")</f>
        <v>Aligned</v>
      </c>
    </row>
    <row r="994" spans="1:12" x14ac:dyDescent="0.3">
      <c r="A994" t="s">
        <v>41</v>
      </c>
      <c r="B994">
        <v>30</v>
      </c>
      <c r="C994">
        <v>60000</v>
      </c>
      <c r="D994" t="s">
        <v>19</v>
      </c>
      <c r="E994" t="s">
        <v>33</v>
      </c>
      <c r="F994" t="s">
        <v>40</v>
      </c>
      <c r="G994">
        <v>2020</v>
      </c>
      <c r="H994" s="1">
        <v>43881</v>
      </c>
      <c r="I994" t="s">
        <v>22</v>
      </c>
      <c r="J994" t="s">
        <v>30</v>
      </c>
      <c r="K994">
        <v>5</v>
      </c>
      <c r="L994" t="str">
        <f>IF(AND(C994&gt; Sheet1!B1000,K994&lt;3), "Misaligned","Aligned")</f>
        <v>Aligned</v>
      </c>
    </row>
    <row r="995" spans="1:12" x14ac:dyDescent="0.3">
      <c r="A995" t="s">
        <v>24</v>
      </c>
      <c r="B995">
        <v>35</v>
      </c>
      <c r="C995" t="s">
        <v>18</v>
      </c>
      <c r="D995" t="s">
        <v>32</v>
      </c>
      <c r="E995" t="s">
        <v>20</v>
      </c>
      <c r="F995" t="s">
        <v>36</v>
      </c>
      <c r="G995">
        <v>2018</v>
      </c>
      <c r="H995" s="1">
        <v>43195</v>
      </c>
      <c r="I995" t="s">
        <v>15</v>
      </c>
      <c r="J995" t="s">
        <v>38</v>
      </c>
      <c r="K995">
        <v>4</v>
      </c>
      <c r="L995" t="str">
        <f>IF(AND(C995&gt; Sheet1!B1001,K995&lt;3), "Misaligned","Aligned")</f>
        <v>Aligned</v>
      </c>
    </row>
    <row r="996" spans="1:12" x14ac:dyDescent="0.3">
      <c r="A996" t="s">
        <v>11</v>
      </c>
      <c r="B996">
        <v>30</v>
      </c>
      <c r="C996">
        <v>50000</v>
      </c>
      <c r="D996" t="s">
        <v>19</v>
      </c>
      <c r="E996" t="s">
        <v>33</v>
      </c>
      <c r="F996" t="s">
        <v>14</v>
      </c>
      <c r="G996">
        <v>2018</v>
      </c>
      <c r="H996" s="1">
        <v>43195</v>
      </c>
      <c r="I996" t="s">
        <v>15</v>
      </c>
      <c r="J996" t="s">
        <v>30</v>
      </c>
      <c r="K996">
        <v>5</v>
      </c>
      <c r="L996" t="str">
        <f>IF(AND(C996&gt; Sheet1!B1002,K996&lt;3), "Misaligned","Aligned")</f>
        <v>Aligned</v>
      </c>
    </row>
    <row r="997" spans="1:12" x14ac:dyDescent="0.3">
      <c r="A997" t="s">
        <v>31</v>
      </c>
      <c r="B997">
        <v>50</v>
      </c>
      <c r="C997">
        <v>65000</v>
      </c>
      <c r="D997" t="s">
        <v>19</v>
      </c>
      <c r="E997" t="s">
        <v>13</v>
      </c>
      <c r="F997" t="s">
        <v>14</v>
      </c>
      <c r="G997">
        <v>2020</v>
      </c>
      <c r="H997" s="1">
        <v>43881</v>
      </c>
      <c r="I997" t="s">
        <v>22</v>
      </c>
      <c r="J997" t="s">
        <v>23</v>
      </c>
      <c r="K997">
        <v>1</v>
      </c>
      <c r="L997" t="str">
        <f>IF(AND(C997&gt; Sheet1!B1003,K997&lt;3), "Misaligned","Aligned")</f>
        <v>Misaligned</v>
      </c>
    </row>
    <row r="998" spans="1:12" x14ac:dyDescent="0.3">
      <c r="A998" t="s">
        <v>31</v>
      </c>
      <c r="B998">
        <v>30</v>
      </c>
      <c r="C998">
        <v>50000</v>
      </c>
      <c r="D998" t="s">
        <v>12</v>
      </c>
      <c r="E998" t="s">
        <v>20</v>
      </c>
      <c r="F998" t="s">
        <v>40</v>
      </c>
      <c r="G998">
        <v>2018</v>
      </c>
      <c r="H998" s="1">
        <v>43195</v>
      </c>
      <c r="I998" t="s">
        <v>15</v>
      </c>
      <c r="J998" t="s">
        <v>27</v>
      </c>
      <c r="K998">
        <v>3</v>
      </c>
      <c r="L998" t="str">
        <f>IF(AND(C998&gt; Sheet1!B1004,K998&lt;3), "Misaligned","Aligned")</f>
        <v>Aligned</v>
      </c>
    </row>
    <row r="999" spans="1:12" x14ac:dyDescent="0.3">
      <c r="A999" t="s">
        <v>24</v>
      </c>
      <c r="B999">
        <v>30</v>
      </c>
      <c r="C999">
        <v>70000</v>
      </c>
      <c r="D999" t="s">
        <v>12</v>
      </c>
      <c r="E999" t="s">
        <v>29</v>
      </c>
      <c r="F999" t="s">
        <v>39</v>
      </c>
      <c r="G999">
        <v>2020</v>
      </c>
      <c r="H999" s="1">
        <v>43845</v>
      </c>
      <c r="I999" t="s">
        <v>26</v>
      </c>
      <c r="J999" t="s">
        <v>16</v>
      </c>
      <c r="K999">
        <v>2</v>
      </c>
      <c r="L999" t="str">
        <f>IF(AND(C999&gt; Sheet1!B1005,K999&lt;3), "Misaligned","Aligned")</f>
        <v>Misaligned</v>
      </c>
    </row>
    <row r="1000" spans="1:12" x14ac:dyDescent="0.3">
      <c r="A1000" t="s">
        <v>42</v>
      </c>
      <c r="B1000">
        <v>25</v>
      </c>
      <c r="C1000">
        <v>65000</v>
      </c>
      <c r="D1000" t="s">
        <v>32</v>
      </c>
      <c r="E1000" t="s">
        <v>33</v>
      </c>
      <c r="F1000" t="s">
        <v>14</v>
      </c>
      <c r="G1000">
        <v>2018</v>
      </c>
      <c r="H1000" s="1">
        <v>43195</v>
      </c>
      <c r="I1000" t="s">
        <v>15</v>
      </c>
      <c r="J1000" t="s">
        <v>16</v>
      </c>
      <c r="K1000">
        <v>2</v>
      </c>
      <c r="L1000" t="str">
        <f>IF(AND(C1000&gt; Sheet1!B1006,K1000&lt;3), "Misaligned","Aligned")</f>
        <v>Misaligned</v>
      </c>
    </row>
    <row r="1001" spans="1:12" x14ac:dyDescent="0.3">
      <c r="A1001" t="s">
        <v>44</v>
      </c>
      <c r="B1001">
        <v>30</v>
      </c>
      <c r="C1001">
        <v>60000</v>
      </c>
      <c r="D1001" t="s">
        <v>12</v>
      </c>
      <c r="E1001" t="s">
        <v>20</v>
      </c>
      <c r="F1001" t="s">
        <v>14</v>
      </c>
      <c r="G1001">
        <v>2020</v>
      </c>
      <c r="H1001" s="1">
        <v>43881</v>
      </c>
      <c r="I1001" t="s">
        <v>22</v>
      </c>
      <c r="J1001" t="s">
        <v>27</v>
      </c>
      <c r="K1001">
        <v>3</v>
      </c>
      <c r="L1001" t="str">
        <f>IF(AND(C1001&gt; Sheet1!B1007,K1001&lt;3), "Misaligned","Aligned")</f>
        <v>Aligned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messy_HR_data_Cleaned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2026-03-06T14:10:21Z</dcterms:created>
  <dcterms:modified xsi:type="dcterms:W3CDTF">2026-03-11T22:33:33Z</dcterms:modified>
</cp:coreProperties>
</file>